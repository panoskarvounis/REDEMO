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nos Karvounis\Desktop\Resource Depletion Model\"/>
    </mc:Choice>
  </mc:AlternateContent>
  <xr:revisionPtr revIDLastSave="0" documentId="13_ncr:1_{90EA4DC0-1BDC-4215-8845-B09AA11181D7}" xr6:coauthVersionLast="46" xr6:coauthVersionMax="46" xr10:uidLastSave="{00000000-0000-0000-0000-000000000000}"/>
  <bookViews>
    <workbookView xWindow="-108" yWindow="-108" windowWidth="23256" windowHeight="12576" tabRatio="807" activeTab="2" xr2:uid="{00000000-000D-0000-FFFF-FFFF00000000}"/>
  </bookViews>
  <sheets>
    <sheet name="Begining" sheetId="1" r:id="rId1"/>
    <sheet name="Nomeclature" sheetId="2" r:id="rId2"/>
    <sheet name="Before you begin" sheetId="8" r:id="rId3"/>
    <sheet name="How it works" sheetId="10" r:id="rId4"/>
    <sheet name="!! Assumptions !!" sheetId="9" r:id="rId5"/>
    <sheet name="Input-Output" sheetId="3" r:id="rId6"/>
    <sheet name="Example (1)" sheetId="12" r:id="rId7"/>
    <sheet name="Example (2)" sheetId="13" r:id="rId8"/>
    <sheet name="Example (3)" sheetId="14" r:id="rId9"/>
    <sheet name="Example (4)" sheetId="15" r:id="rId10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2" i="12" l="1"/>
  <c r="T2" i="15"/>
  <c r="Q64" i="15" s="1"/>
  <c r="T2" i="3"/>
  <c r="J2" i="14"/>
  <c r="T2" i="14" s="1"/>
  <c r="T2" i="12"/>
  <c r="H2" i="12"/>
  <c r="J2" i="12"/>
  <c r="Q13" i="15" l="1"/>
  <c r="Q29" i="15"/>
  <c r="Q45" i="15"/>
  <c r="Q61" i="15"/>
  <c r="R61" i="15"/>
  <c r="R57" i="15"/>
  <c r="R53" i="15"/>
  <c r="R49" i="15"/>
  <c r="R45" i="15"/>
  <c r="R41" i="15"/>
  <c r="R37" i="15"/>
  <c r="R33" i="15"/>
  <c r="R29" i="15"/>
  <c r="R25" i="15"/>
  <c r="R21" i="15"/>
  <c r="R17" i="15"/>
  <c r="R13" i="15"/>
  <c r="R9" i="15"/>
  <c r="R5" i="15"/>
  <c r="Q9" i="15"/>
  <c r="Q25" i="15"/>
  <c r="Q57" i="15"/>
  <c r="R58" i="15"/>
  <c r="R46" i="15"/>
  <c r="R38" i="15"/>
  <c r="R30" i="15"/>
  <c r="R26" i="15"/>
  <c r="R18" i="15"/>
  <c r="R10" i="15"/>
  <c r="Q17" i="15"/>
  <c r="Q33" i="15"/>
  <c r="Q49" i="15"/>
  <c r="R64" i="15"/>
  <c r="R60" i="15"/>
  <c r="R56" i="15"/>
  <c r="R52" i="15"/>
  <c r="R48" i="15"/>
  <c r="R44" i="15"/>
  <c r="R40" i="15"/>
  <c r="R36" i="15"/>
  <c r="R32" i="15"/>
  <c r="R28" i="15"/>
  <c r="R24" i="15"/>
  <c r="R20" i="15"/>
  <c r="R16" i="15"/>
  <c r="R12" i="15"/>
  <c r="R8" i="15"/>
  <c r="R4" i="15"/>
  <c r="Q2" i="15"/>
  <c r="U2" i="15" s="1"/>
  <c r="Q41" i="15"/>
  <c r="R62" i="15"/>
  <c r="R54" i="15"/>
  <c r="R50" i="15"/>
  <c r="R42" i="15"/>
  <c r="R34" i="15"/>
  <c r="R22" i="15"/>
  <c r="R14" i="15"/>
  <c r="R6" i="15"/>
  <c r="Q5" i="15"/>
  <c r="Q21" i="15"/>
  <c r="Q37" i="15"/>
  <c r="Q53" i="15"/>
  <c r="R63" i="15"/>
  <c r="R59" i="15"/>
  <c r="R55" i="15"/>
  <c r="R51" i="15"/>
  <c r="R47" i="15"/>
  <c r="R43" i="15"/>
  <c r="R39" i="15"/>
  <c r="R35" i="15"/>
  <c r="R31" i="15"/>
  <c r="R27" i="15"/>
  <c r="R23" i="15"/>
  <c r="R19" i="15"/>
  <c r="R15" i="15"/>
  <c r="R11" i="15"/>
  <c r="R7" i="15"/>
  <c r="R3" i="15"/>
  <c r="Q6" i="15"/>
  <c r="Q10" i="15"/>
  <c r="Q14" i="15"/>
  <c r="Q18" i="15"/>
  <c r="Q22" i="15"/>
  <c r="Q26" i="15"/>
  <c r="Q30" i="15"/>
  <c r="Q34" i="15"/>
  <c r="Q38" i="15"/>
  <c r="Q42" i="15"/>
  <c r="Q46" i="15"/>
  <c r="Q50" i="15"/>
  <c r="Q54" i="15"/>
  <c r="Q58" i="15"/>
  <c r="Q62" i="15"/>
  <c r="R2" i="15"/>
  <c r="Q3" i="15"/>
  <c r="Q7" i="15"/>
  <c r="Q11" i="15"/>
  <c r="Q15" i="15"/>
  <c r="Q19" i="15"/>
  <c r="Q23" i="15"/>
  <c r="Q27" i="15"/>
  <c r="Q31" i="15"/>
  <c r="Q35" i="15"/>
  <c r="Q39" i="15"/>
  <c r="Q43" i="15"/>
  <c r="Q47" i="15"/>
  <c r="Q51" i="15"/>
  <c r="Q55" i="15"/>
  <c r="Q59" i="15"/>
  <c r="Q63" i="15"/>
  <c r="Q4" i="15"/>
  <c r="Q8" i="15"/>
  <c r="Q12" i="15"/>
  <c r="Q16" i="15"/>
  <c r="Q20" i="15"/>
  <c r="Q24" i="15"/>
  <c r="Q28" i="15"/>
  <c r="Q32" i="15"/>
  <c r="Q36" i="15"/>
  <c r="Q40" i="15"/>
  <c r="Q44" i="15"/>
  <c r="Q48" i="15"/>
  <c r="Q52" i="15"/>
  <c r="Q56" i="15"/>
  <c r="Q60" i="15"/>
  <c r="R82" i="14"/>
  <c r="R80" i="14"/>
  <c r="R78" i="14"/>
  <c r="R76" i="14"/>
  <c r="R74" i="14"/>
  <c r="R72" i="14"/>
  <c r="R70" i="14"/>
  <c r="R68" i="14"/>
  <c r="R66" i="14"/>
  <c r="R64" i="14"/>
  <c r="R62" i="14"/>
  <c r="R60" i="14"/>
  <c r="R58" i="14"/>
  <c r="R56" i="14"/>
  <c r="R54" i="14"/>
  <c r="R52" i="14"/>
  <c r="R50" i="14"/>
  <c r="R48" i="14"/>
  <c r="R46" i="14"/>
  <c r="R44" i="14"/>
  <c r="R42" i="14"/>
  <c r="R40" i="14"/>
  <c r="R38" i="14"/>
  <c r="R36" i="14"/>
  <c r="R34" i="14"/>
  <c r="R32" i="14"/>
  <c r="R30" i="14"/>
  <c r="R28" i="14"/>
  <c r="R26" i="14"/>
  <c r="R24" i="14"/>
  <c r="R22" i="14"/>
  <c r="R20" i="14"/>
  <c r="R18" i="14"/>
  <c r="R16" i="14"/>
  <c r="R14" i="14"/>
  <c r="R12" i="14"/>
  <c r="R10" i="14"/>
  <c r="R8" i="14"/>
  <c r="R6" i="14"/>
  <c r="R4" i="14"/>
  <c r="Q49" i="14"/>
  <c r="Q39" i="14"/>
  <c r="Q33" i="14"/>
  <c r="Q27" i="14"/>
  <c r="Q21" i="14"/>
  <c r="Q15" i="14"/>
  <c r="Q11" i="14"/>
  <c r="Q5" i="14"/>
  <c r="Q82" i="14"/>
  <c r="Q80" i="14"/>
  <c r="Q78" i="14"/>
  <c r="Q76" i="14"/>
  <c r="Q74" i="14"/>
  <c r="Q72" i="14"/>
  <c r="Q70" i="14"/>
  <c r="Q68" i="14"/>
  <c r="Q66" i="14"/>
  <c r="Q64" i="14"/>
  <c r="Q62" i="14"/>
  <c r="Q60" i="14"/>
  <c r="Q58" i="14"/>
  <c r="Q56" i="14"/>
  <c r="Q54" i="14"/>
  <c r="Q52" i="14"/>
  <c r="Q50" i="14"/>
  <c r="Q48" i="14"/>
  <c r="Q46" i="14"/>
  <c r="Q44" i="14"/>
  <c r="Q42" i="14"/>
  <c r="Q40" i="14"/>
  <c r="Q38" i="14"/>
  <c r="Q36" i="14"/>
  <c r="Q34" i="14"/>
  <c r="Q32" i="14"/>
  <c r="Q30" i="14"/>
  <c r="Q28" i="14"/>
  <c r="Q26" i="14"/>
  <c r="Q24" i="14"/>
  <c r="Q22" i="14"/>
  <c r="Q20" i="14"/>
  <c r="Q18" i="14"/>
  <c r="Q16" i="14"/>
  <c r="Q14" i="14"/>
  <c r="Q12" i="14"/>
  <c r="Q10" i="14"/>
  <c r="Q8" i="14"/>
  <c r="Q6" i="14"/>
  <c r="Q4" i="14"/>
  <c r="Q79" i="14"/>
  <c r="Q71" i="14"/>
  <c r="Q67" i="14"/>
  <c r="Q63" i="14"/>
  <c r="Q57" i="14"/>
  <c r="Q53" i="14"/>
  <c r="Q47" i="14"/>
  <c r="Q43" i="14"/>
  <c r="Q37" i="14"/>
  <c r="Q31" i="14"/>
  <c r="Q23" i="14"/>
  <c r="Q17" i="14"/>
  <c r="Q7" i="14"/>
  <c r="Q2" i="14"/>
  <c r="U2" i="14" s="1"/>
  <c r="R81" i="14"/>
  <c r="R79" i="14"/>
  <c r="R77" i="14"/>
  <c r="R75" i="14"/>
  <c r="R73" i="14"/>
  <c r="R71" i="14"/>
  <c r="R69" i="14"/>
  <c r="R67" i="14"/>
  <c r="R65" i="14"/>
  <c r="R63" i="14"/>
  <c r="R61" i="14"/>
  <c r="R59" i="14"/>
  <c r="R57" i="14"/>
  <c r="R55" i="14"/>
  <c r="R53" i="14"/>
  <c r="R51" i="14"/>
  <c r="R49" i="14"/>
  <c r="R47" i="14"/>
  <c r="R45" i="14"/>
  <c r="R43" i="14"/>
  <c r="R41" i="14"/>
  <c r="R39" i="14"/>
  <c r="R37" i="14"/>
  <c r="R35" i="14"/>
  <c r="R33" i="14"/>
  <c r="R31" i="14"/>
  <c r="R29" i="14"/>
  <c r="R27" i="14"/>
  <c r="R25" i="14"/>
  <c r="R23" i="14"/>
  <c r="R21" i="14"/>
  <c r="R19" i="14"/>
  <c r="R17" i="14"/>
  <c r="R15" i="14"/>
  <c r="R13" i="14"/>
  <c r="R11" i="14"/>
  <c r="R9" i="14"/>
  <c r="R7" i="14"/>
  <c r="R5" i="14"/>
  <c r="R3" i="14"/>
  <c r="R2" i="14"/>
  <c r="Q81" i="14"/>
  <c r="Q77" i="14"/>
  <c r="Q75" i="14"/>
  <c r="Q73" i="14"/>
  <c r="Q69" i="14"/>
  <c r="Q65" i="14"/>
  <c r="Q61" i="14"/>
  <c r="Q59" i="14"/>
  <c r="Q55" i="14"/>
  <c r="Q51" i="14"/>
  <c r="Q45" i="14"/>
  <c r="Q41" i="14"/>
  <c r="Q35" i="14"/>
  <c r="Q29" i="14"/>
  <c r="Q25" i="14"/>
  <c r="Q19" i="14"/>
  <c r="Q13" i="14"/>
  <c r="Q9" i="14"/>
  <c r="Q3" i="14"/>
  <c r="V2" i="15" l="1"/>
  <c r="R2" i="12"/>
  <c r="R4" i="12"/>
  <c r="R48" i="12"/>
  <c r="R46" i="12"/>
  <c r="R44" i="12"/>
  <c r="R42" i="12"/>
  <c r="R40" i="12"/>
  <c r="R38" i="12"/>
  <c r="R36" i="12"/>
  <c r="R34" i="12"/>
  <c r="Q49" i="12"/>
  <c r="Q47" i="12"/>
  <c r="Q45" i="12"/>
  <c r="Q43" i="12"/>
  <c r="Q41" i="12"/>
  <c r="Q39" i="12"/>
  <c r="Q37" i="12"/>
  <c r="Q35" i="12"/>
  <c r="Q33" i="12"/>
  <c r="Q48" i="12"/>
  <c r="Q46" i="12"/>
  <c r="Q44" i="12"/>
  <c r="Q42" i="12"/>
  <c r="Q40" i="12"/>
  <c r="Q38" i="12"/>
  <c r="Q36" i="12"/>
  <c r="Q34" i="12"/>
  <c r="R49" i="12"/>
  <c r="R47" i="12"/>
  <c r="R45" i="12"/>
  <c r="R43" i="12"/>
  <c r="R41" i="12"/>
  <c r="R39" i="12"/>
  <c r="R37" i="12"/>
  <c r="R35" i="12"/>
  <c r="R33" i="12"/>
  <c r="R26" i="12"/>
  <c r="R22" i="12"/>
  <c r="R18" i="12"/>
  <c r="R14" i="12"/>
  <c r="R10" i="12"/>
  <c r="Q28" i="12"/>
  <c r="Q26" i="12"/>
  <c r="Q24" i="12"/>
  <c r="Q22" i="12"/>
  <c r="Q20" i="12"/>
  <c r="Q18" i="12"/>
  <c r="Q16" i="12"/>
  <c r="Q14" i="12"/>
  <c r="Q12" i="12"/>
  <c r="Q10" i="12"/>
  <c r="Q8" i="12"/>
  <c r="Q6" i="12"/>
  <c r="Q4" i="12"/>
  <c r="R29" i="12"/>
  <c r="R27" i="12"/>
  <c r="R25" i="12"/>
  <c r="R23" i="12"/>
  <c r="R21" i="12"/>
  <c r="R19" i="12"/>
  <c r="R17" i="12"/>
  <c r="R15" i="12"/>
  <c r="R13" i="12"/>
  <c r="R11" i="12"/>
  <c r="R9" i="12"/>
  <c r="R7" i="12"/>
  <c r="R5" i="12"/>
  <c r="R3" i="12"/>
  <c r="Q29" i="12"/>
  <c r="Q27" i="12"/>
  <c r="Q25" i="12"/>
  <c r="Q23" i="12"/>
  <c r="Q21" i="12"/>
  <c r="Q19" i="12"/>
  <c r="Q17" i="12"/>
  <c r="Q15" i="12"/>
  <c r="Q13" i="12"/>
  <c r="Q11" i="12"/>
  <c r="Q9" i="12"/>
  <c r="Q7" i="12"/>
  <c r="Q5" i="12"/>
  <c r="Q3" i="12"/>
  <c r="R28" i="12"/>
  <c r="R24" i="12"/>
  <c r="R20" i="12"/>
  <c r="R16" i="12"/>
  <c r="R12" i="12"/>
  <c r="R8" i="12"/>
  <c r="R6" i="12"/>
  <c r="U2" i="12" l="1"/>
  <c r="T2" i="13" l="1"/>
  <c r="J2" i="13"/>
  <c r="Q2" i="13" l="1"/>
  <c r="R68" i="13"/>
  <c r="R54" i="13"/>
  <c r="R48" i="13"/>
  <c r="R40" i="13"/>
  <c r="R32" i="13"/>
  <c r="R22" i="13"/>
  <c r="R12" i="13"/>
  <c r="Q78" i="13"/>
  <c r="Q76" i="13"/>
  <c r="Q74" i="13"/>
  <c r="Q72" i="13"/>
  <c r="Q70" i="13"/>
  <c r="Q68" i="13"/>
  <c r="Q66" i="13"/>
  <c r="Q64" i="13"/>
  <c r="Q62" i="13"/>
  <c r="Q60" i="13"/>
  <c r="Q58" i="13"/>
  <c r="Q56" i="13"/>
  <c r="Q54" i="13"/>
  <c r="Q52" i="13"/>
  <c r="Q50" i="13"/>
  <c r="Q48" i="13"/>
  <c r="Q46" i="13"/>
  <c r="Q44" i="13"/>
  <c r="Q42" i="13"/>
  <c r="Q40" i="13"/>
  <c r="Q38" i="13"/>
  <c r="Q36" i="13"/>
  <c r="Q34" i="13"/>
  <c r="Q32" i="13"/>
  <c r="Q30" i="13"/>
  <c r="Q28" i="13"/>
  <c r="Q26" i="13"/>
  <c r="Q24" i="13"/>
  <c r="Q22" i="13"/>
  <c r="Q20" i="13"/>
  <c r="Q18" i="13"/>
  <c r="Q16" i="13"/>
  <c r="Q14" i="13"/>
  <c r="Q12" i="13"/>
  <c r="Q10" i="13"/>
  <c r="Q8" i="13"/>
  <c r="Q6" i="13"/>
  <c r="Q4" i="13"/>
  <c r="Q79" i="13"/>
  <c r="Q75" i="13"/>
  <c r="Q71" i="13"/>
  <c r="Q67" i="13"/>
  <c r="Q63" i="13"/>
  <c r="Q59" i="13"/>
  <c r="Q53" i="13"/>
  <c r="Q51" i="13"/>
  <c r="Q47" i="13"/>
  <c r="Q43" i="13"/>
  <c r="Q39" i="13"/>
  <c r="Q35" i="13"/>
  <c r="Q31" i="13"/>
  <c r="Q27" i="13"/>
  <c r="Q23" i="13"/>
  <c r="Q19" i="13"/>
  <c r="Q15" i="13"/>
  <c r="Q11" i="13"/>
  <c r="Q9" i="13"/>
  <c r="Q3" i="13"/>
  <c r="R76" i="13"/>
  <c r="R72" i="13"/>
  <c r="R66" i="13"/>
  <c r="R62" i="13"/>
  <c r="R56" i="13"/>
  <c r="R50" i="13"/>
  <c r="R44" i="13"/>
  <c r="R38" i="13"/>
  <c r="R34" i="13"/>
  <c r="R28" i="13"/>
  <c r="R26" i="13"/>
  <c r="R18" i="13"/>
  <c r="R14" i="13"/>
  <c r="R8" i="13"/>
  <c r="R4" i="13"/>
  <c r="R79" i="13"/>
  <c r="R77" i="13"/>
  <c r="R75" i="13"/>
  <c r="R73" i="13"/>
  <c r="R71" i="13"/>
  <c r="R69" i="13"/>
  <c r="R67" i="13"/>
  <c r="R65" i="13"/>
  <c r="R63" i="13"/>
  <c r="R61" i="13"/>
  <c r="R59" i="13"/>
  <c r="R57" i="13"/>
  <c r="R55" i="13"/>
  <c r="R53" i="13"/>
  <c r="R51" i="13"/>
  <c r="R49" i="13"/>
  <c r="R47" i="13"/>
  <c r="R45" i="13"/>
  <c r="R43" i="13"/>
  <c r="R41" i="13"/>
  <c r="R39" i="13"/>
  <c r="R37" i="13"/>
  <c r="R35" i="13"/>
  <c r="R33" i="13"/>
  <c r="R31" i="13"/>
  <c r="R29" i="13"/>
  <c r="R27" i="13"/>
  <c r="R25" i="13"/>
  <c r="R23" i="13"/>
  <c r="R21" i="13"/>
  <c r="R19" i="13"/>
  <c r="R17" i="13"/>
  <c r="R15" i="13"/>
  <c r="R13" i="13"/>
  <c r="R11" i="13"/>
  <c r="R9" i="13"/>
  <c r="R7" i="13"/>
  <c r="R5" i="13"/>
  <c r="R3" i="13"/>
  <c r="R2" i="13"/>
  <c r="Q77" i="13"/>
  <c r="Q73" i="13"/>
  <c r="Q69" i="13"/>
  <c r="Q65" i="13"/>
  <c r="Q61" i="13"/>
  <c r="Q57" i="13"/>
  <c r="Q55" i="13"/>
  <c r="Q49" i="13"/>
  <c r="Q45" i="13"/>
  <c r="Q41" i="13"/>
  <c r="Q37" i="13"/>
  <c r="Q33" i="13"/>
  <c r="Q29" i="13"/>
  <c r="Q25" i="13"/>
  <c r="Q21" i="13"/>
  <c r="Q17" i="13"/>
  <c r="Q13" i="13"/>
  <c r="Q7" i="13"/>
  <c r="Q5" i="13"/>
  <c r="U2" i="13"/>
  <c r="R78" i="13"/>
  <c r="R74" i="13"/>
  <c r="R70" i="13"/>
  <c r="R64" i="13"/>
  <c r="R60" i="13"/>
  <c r="R58" i="13"/>
  <c r="R52" i="13"/>
  <c r="R46" i="13"/>
  <c r="R42" i="13"/>
  <c r="R36" i="13"/>
  <c r="R30" i="13"/>
  <c r="R24" i="13"/>
  <c r="R20" i="13"/>
  <c r="R16" i="13"/>
  <c r="R10" i="13"/>
  <c r="R6" i="13"/>
  <c r="R32" i="12"/>
  <c r="R30" i="12"/>
  <c r="Q32" i="12"/>
  <c r="Q30" i="12"/>
  <c r="R31" i="12"/>
  <c r="Q31" i="12"/>
  <c r="T6" i="12" l="1"/>
  <c r="Q2" i="3"/>
  <c r="R2" i="3" l="1"/>
  <c r="U2" i="3" l="1"/>
  <c r="V2" i="3"/>
</calcChain>
</file>

<file path=xl/sharedStrings.xml><?xml version="1.0" encoding="utf-8"?>
<sst xmlns="http://schemas.openxmlformats.org/spreadsheetml/2006/main" count="154" uniqueCount="75">
  <si>
    <t>A model that estimates the deplition of a finite resource given a historical database</t>
  </si>
  <si>
    <t>K</t>
  </si>
  <si>
    <t>No</t>
  </si>
  <si>
    <t>N</t>
  </si>
  <si>
    <t>Qi_D</t>
  </si>
  <si>
    <t>Historical production data per year</t>
  </si>
  <si>
    <t>Qi_M</t>
  </si>
  <si>
    <t>Modelled production data per year</t>
  </si>
  <si>
    <t>r</t>
  </si>
  <si>
    <t>t</t>
  </si>
  <si>
    <t>t0</t>
  </si>
  <si>
    <t>E</t>
  </si>
  <si>
    <t>i</t>
  </si>
  <si>
    <t>INPUT</t>
  </si>
  <si>
    <t>OUTPUT</t>
  </si>
  <si>
    <t>Year</t>
  </si>
  <si>
    <t xml:space="preserve">At this point INSERT your database at the right collumn </t>
  </si>
  <si>
    <t>Qi,D is the historical data for a certain year.</t>
  </si>
  <si>
    <t>[2]  r (%)</t>
  </si>
  <si>
    <t>[1]   K</t>
  </si>
  <si>
    <t>[2]: growth rate</t>
  </si>
  <si>
    <t>[3]: base year</t>
  </si>
  <si>
    <t>[1]: available reserves</t>
  </si>
  <si>
    <r>
      <t>[1]  N</t>
    </r>
    <r>
      <rPr>
        <b/>
        <sz val="8"/>
        <color rgb="FF3F3F3F"/>
        <rFont val="Calibri"/>
        <family val="2"/>
        <scheme val="minor"/>
      </rPr>
      <t>0</t>
    </r>
  </si>
  <si>
    <t>[2] Error</t>
  </si>
  <si>
    <t>[1]: Time where historical and modeled data match.</t>
  </si>
  <si>
    <t>[2]: Error determining quality of fit</t>
  </si>
  <si>
    <r>
      <t xml:space="preserve">[3]  </t>
    </r>
    <r>
      <rPr>
        <sz val="12"/>
        <rFont val="Calibri"/>
        <family val="2"/>
        <scheme val="minor"/>
      </rPr>
      <t>t</t>
    </r>
    <r>
      <rPr>
        <sz val="8"/>
        <rFont val="Calibri"/>
        <family val="2"/>
        <scheme val="minor"/>
      </rPr>
      <t>0</t>
    </r>
  </si>
  <si>
    <r>
      <t>Q</t>
    </r>
    <r>
      <rPr>
        <b/>
        <sz val="10"/>
        <rFont val="Times New Roman"/>
        <family val="1"/>
      </rPr>
      <t>i,M</t>
    </r>
  </si>
  <si>
    <t>At this point the METHODOLOGY you need to follow is explained</t>
  </si>
  <si>
    <t>ASSUMPTIONS</t>
  </si>
  <si>
    <t>This value refers to the available reserves of the quantity in study</t>
  </si>
  <si>
    <t>Cumulative production up to reference year, t0</t>
  </si>
  <si>
    <t>This value is calculated so that modelled production at reference year, t0, matches the historical data value Qi_D.</t>
  </si>
  <si>
    <t>Growth rate of production</t>
  </si>
  <si>
    <t>Time in years</t>
  </si>
  <si>
    <t>Reference year</t>
  </si>
  <si>
    <t>Error coefficient</t>
  </si>
  <si>
    <t>Nomeclature of the values encountered in the model</t>
  </si>
  <si>
    <t xml:space="preserve">[1] </t>
  </si>
  <si>
    <t>Consider current technologies. For projections no thechnological advancment is considerd.</t>
  </si>
  <si>
    <t xml:space="preserve">[2] </t>
  </si>
  <si>
    <t>Maximum exploitation of the selected resource is considered. In the case of constrained production, the model would deviate from reality.</t>
  </si>
  <si>
    <t>Same function can be used for other purposes, such as, population growth, epidemiology, wildlife population and any kind of finite resource.</t>
  </si>
  <si>
    <t>This model is based on Hubbert's logistic function which was originally used to match oilfield production.</t>
  </si>
  <si>
    <t xml:space="preserve">Cumulative production is given by </t>
  </si>
  <si>
    <r>
      <t xml:space="preserve">The factors affecting the shape of the curve are </t>
    </r>
    <r>
      <rPr>
        <i/>
        <sz val="11"/>
        <color theme="0"/>
        <rFont val="Calibri"/>
        <family val="2"/>
        <scheme val="minor"/>
      </rPr>
      <t>K</t>
    </r>
    <r>
      <rPr>
        <sz val="11"/>
        <color theme="0"/>
        <rFont val="Calibri"/>
        <family val="2"/>
        <scheme val="minor"/>
      </rPr>
      <t xml:space="preserve"> and </t>
    </r>
    <r>
      <rPr>
        <i/>
        <sz val="11"/>
        <color theme="0"/>
        <rFont val="Calibri"/>
        <family val="2"/>
        <scheme val="minor"/>
      </rPr>
      <t>r</t>
    </r>
    <r>
      <rPr>
        <sz val="11"/>
        <color theme="0"/>
        <rFont val="Calibri"/>
        <family val="2"/>
        <scheme val="minor"/>
      </rPr>
      <t xml:space="preserve"> and are defined by:</t>
    </r>
  </si>
  <si>
    <t>The first derivative of this equation, represents the rate of production and results in a bell-shaped curve.</t>
  </si>
  <si>
    <r>
      <t>The above is solved to determine N</t>
    </r>
    <r>
      <rPr>
        <sz val="8"/>
        <color theme="0"/>
        <rFont val="Calibri"/>
        <family val="2"/>
        <scheme val="minor"/>
      </rPr>
      <t>0</t>
    </r>
    <r>
      <rPr>
        <sz val="11"/>
        <color theme="0"/>
        <rFont val="Calibri"/>
        <family val="2"/>
        <scheme val="minor"/>
      </rPr>
      <t xml:space="preserve"> in order for the production in the base year t0 to match the one of the provided DATA.</t>
    </r>
  </si>
  <si>
    <t>This models methodology was proposed by Hubbert et al. (1962) while, discused and developed by P. Karvounis and M. J. Blunt (2021)</t>
  </si>
  <si>
    <t>Qi,D</t>
  </si>
  <si>
    <t>Qi_D_base_year</t>
  </si>
  <si>
    <t>[1]</t>
  </si>
  <si>
    <t>[3]</t>
  </si>
  <si>
    <t>[4]</t>
  </si>
  <si>
    <t>[5]</t>
  </si>
  <si>
    <t>[6]</t>
  </si>
  <si>
    <r>
      <t>The first step is to paste the data of resource in column</t>
    </r>
    <r>
      <rPr>
        <i/>
        <sz val="11"/>
        <color theme="1"/>
        <rFont val="Times New Roman"/>
        <family val="1"/>
      </rPr>
      <t xml:space="preserve"> D </t>
    </r>
    <r>
      <rPr>
        <sz val="11"/>
        <color theme="1"/>
        <rFont val="Times New Roman"/>
        <family val="1"/>
      </rPr>
      <t xml:space="preserve">and year in column </t>
    </r>
    <r>
      <rPr>
        <i/>
        <sz val="11"/>
        <color theme="1"/>
        <rFont val="Times New Roman"/>
        <family val="1"/>
      </rPr>
      <t>C</t>
    </r>
    <r>
      <rPr>
        <sz val="11"/>
        <color theme="1"/>
        <rFont val="Times New Roman"/>
        <family val="1"/>
      </rPr>
      <t>.</t>
    </r>
  </si>
  <si>
    <r>
      <t>Provide in column</t>
    </r>
    <r>
      <rPr>
        <i/>
        <sz val="11"/>
        <color theme="1"/>
        <rFont val="Times New Roman"/>
        <family val="1"/>
      </rPr>
      <t xml:space="preserve"> F</t>
    </r>
    <r>
      <rPr>
        <sz val="11"/>
        <color theme="1"/>
        <rFont val="Times New Roman"/>
        <family val="1"/>
      </rPr>
      <t>, the available reserves.</t>
    </r>
  </si>
  <si>
    <r>
      <t xml:space="preserve">Provide a suggested value for the growth rate at column </t>
    </r>
    <r>
      <rPr>
        <i/>
        <sz val="11"/>
        <color theme="1"/>
        <rFont val="Times New Roman"/>
        <family val="1"/>
      </rPr>
      <t>G</t>
    </r>
    <r>
      <rPr>
        <sz val="11"/>
        <color theme="1"/>
        <rFont val="Times New Roman"/>
        <family val="1"/>
      </rPr>
      <t>.</t>
    </r>
  </si>
  <si>
    <r>
      <t xml:space="preserve">Provide the base year at column </t>
    </r>
    <r>
      <rPr>
        <i/>
        <sz val="11"/>
        <color theme="1"/>
        <rFont val="Times New Roman"/>
        <family val="1"/>
      </rPr>
      <t>H</t>
    </r>
    <r>
      <rPr>
        <sz val="11"/>
        <color theme="1"/>
        <rFont val="Times New Roman"/>
        <family val="1"/>
      </rPr>
      <t>. It is the year that the resource data match the calculated ones.</t>
    </r>
  </si>
  <si>
    <r>
      <t xml:space="preserve">Provide in column </t>
    </r>
    <r>
      <rPr>
        <i/>
        <sz val="11"/>
        <color theme="1"/>
        <rFont val="Times New Roman"/>
        <family val="1"/>
      </rPr>
      <t>J</t>
    </r>
    <r>
      <rPr>
        <sz val="11"/>
        <color theme="1"/>
        <rFont val="Times New Roman"/>
        <family val="1"/>
      </rPr>
      <t>, the value of the data at base year.</t>
    </r>
  </si>
  <si>
    <t>S-curve</t>
  </si>
  <si>
    <t>Peak year</t>
  </si>
  <si>
    <r>
      <rPr>
        <b/>
        <sz val="11"/>
        <color rgb="FFFF0000"/>
        <rFont val="Calibri"/>
        <family val="2"/>
        <scheme val="minor"/>
      </rPr>
      <t>EXAMPLE #1</t>
    </r>
    <r>
      <rPr>
        <sz val="11"/>
        <color theme="1"/>
        <rFont val="Calibri"/>
        <family val="2"/>
        <scheme val="minor"/>
      </rPr>
      <t xml:space="preserve"> World wide Geothermal energy production Data Source: BP Energy Review 2019</t>
    </r>
  </si>
  <si>
    <r>
      <rPr>
        <b/>
        <sz val="11"/>
        <color rgb="FFFF0000"/>
        <rFont val="Calibri"/>
        <family val="2"/>
        <scheme val="minor"/>
      </rPr>
      <t>EXAMPLE #3</t>
    </r>
    <r>
      <rPr>
        <sz val="11"/>
        <color theme="1"/>
        <rFont val="Calibri"/>
        <family val="2"/>
        <scheme val="minor"/>
      </rPr>
      <t xml:space="preserve"> Oil production in US                                      Data Source: BP Energy Review 2019</t>
    </r>
  </si>
  <si>
    <r>
      <rPr>
        <b/>
        <sz val="11"/>
        <color rgb="FFFF0000"/>
        <rFont val="Calibri"/>
        <family val="2"/>
        <scheme val="minor"/>
      </rPr>
      <t>EXAMPLE #2</t>
    </r>
    <r>
      <rPr>
        <sz val="11"/>
        <color theme="1"/>
        <rFont val="Calibri"/>
        <family val="2"/>
        <scheme val="minor"/>
      </rPr>
      <t xml:space="preserve"> Natural Gas production in Middle East.      Data Source: BP Energy Review 2019</t>
    </r>
  </si>
  <si>
    <t>[7]</t>
  </si>
  <si>
    <t xml:space="preserve">You may run an optimization to minimize the error E using a goal seek function on growth rate (r) or reserves (K) by selecting the corresponding button. </t>
  </si>
  <si>
    <t>The model fails to match production when abrupt changes occur in historical data.</t>
  </si>
  <si>
    <t>[3] Peak Year</t>
  </si>
  <si>
    <r>
      <t>[1]  N</t>
    </r>
    <r>
      <rPr>
        <b/>
        <sz val="8"/>
        <rFont val="Calibri"/>
        <family val="2"/>
        <scheme val="minor"/>
      </rPr>
      <t>0</t>
    </r>
  </si>
  <si>
    <r>
      <rPr>
        <b/>
        <sz val="11"/>
        <color rgb="FFFF0000"/>
        <rFont val="Calibri"/>
        <family val="2"/>
        <scheme val="minor"/>
      </rPr>
      <t>EXAMPLE #4</t>
    </r>
    <r>
      <rPr>
        <sz val="11"/>
        <color theme="1"/>
        <rFont val="Calibri"/>
        <family val="2"/>
        <scheme val="minor"/>
      </rPr>
      <t xml:space="preserve"> Whaling between 1988-2019                                      Data Source: https://iwc.int/estimate and https://iwc.int/total-catches </t>
    </r>
  </si>
  <si>
    <t>[3]: Peak year</t>
  </si>
  <si>
    <t>Before you begin, a solid historical database is required.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</si>
</sst>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rgb="FF3F3F3F"/>
      <name val="Calibri"/>
      <family val="2"/>
      <scheme val="minor"/>
    </font>
    <font>
      <sz val="11"/>
      <color theme="0"/>
      <name val="Calibri"/>
      <family val="2"/>
      <scheme val="minor"/>
    </font>
    <font>
      <sz val="36"/>
      <color theme="1"/>
      <name val="Times New Roman"/>
      <family val="1"/>
    </font>
    <font>
      <sz val="36"/>
      <color theme="1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8"/>
      <name val="Calibri"/>
      <family val="2"/>
      <scheme val="minor"/>
    </font>
    <font>
      <b/>
      <sz val="12"/>
      <name val="Times New Roman"/>
      <family val="1"/>
    </font>
    <font>
      <b/>
      <sz val="10"/>
      <name val="Times New Roman"/>
      <family val="1"/>
    </font>
    <font>
      <sz val="20"/>
      <color theme="1"/>
      <name val="Times New Roman"/>
      <family val="1"/>
    </font>
    <font>
      <sz val="11"/>
      <color theme="1"/>
      <name val="Times New Roman"/>
      <family val="1"/>
    </font>
    <font>
      <i/>
      <sz val="11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4"/>
      <color theme="0"/>
      <name val="Times New Roman"/>
      <family val="1"/>
    </font>
    <font>
      <sz val="20"/>
      <color theme="0"/>
      <name val="Calibri"/>
      <family val="2"/>
      <scheme val="minor"/>
    </font>
    <font>
      <sz val="12"/>
      <color theme="1"/>
      <name val="Times New Roman"/>
      <family val="1"/>
    </font>
    <font>
      <i/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rgb="FFFF0000"/>
      <name val="Calibri"/>
      <family val="2"/>
      <scheme val="minor"/>
    </font>
    <font>
      <sz val="8"/>
      <name val="Arial"/>
      <family val="2"/>
    </font>
    <font>
      <sz val="6"/>
      <name val="Arial"/>
      <family val="2"/>
    </font>
    <font>
      <sz val="7"/>
      <color indexed="8"/>
      <name val="Arial"/>
      <family val="2"/>
    </font>
    <font>
      <sz val="7"/>
      <name val="Arial"/>
      <family val="2"/>
    </font>
    <font>
      <sz val="8"/>
      <color theme="1"/>
      <name val="Consolas"/>
      <family val="3"/>
    </font>
    <font>
      <b/>
      <sz val="11"/>
      <name val="Calibri"/>
      <family val="2"/>
      <scheme val="minor"/>
    </font>
    <font>
      <b/>
      <sz val="8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0.39997558519241921"/>
        <bgColor indexed="64"/>
      </patternFill>
    </fill>
  </fills>
  <borders count="4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/>
      <right/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00000"/>
      </left>
      <right/>
      <top style="medium">
        <color rgb="FFC00000"/>
      </top>
      <bottom/>
      <diagonal/>
    </border>
    <border>
      <left/>
      <right/>
      <top style="medium">
        <color rgb="FFC00000"/>
      </top>
      <bottom/>
      <diagonal/>
    </border>
    <border>
      <left/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/>
      <top/>
      <bottom/>
      <diagonal/>
    </border>
    <border>
      <left/>
      <right style="medium">
        <color rgb="FFC00000"/>
      </right>
      <top/>
      <bottom/>
      <diagonal/>
    </border>
    <border>
      <left style="medium">
        <color rgb="FFC00000"/>
      </left>
      <right/>
      <top/>
      <bottom style="medium">
        <color rgb="FFC00000"/>
      </bottom>
      <diagonal/>
    </border>
    <border>
      <left/>
      <right/>
      <top/>
      <bottom style="medium">
        <color rgb="FFC00000"/>
      </bottom>
      <diagonal/>
    </border>
    <border>
      <left/>
      <right style="medium">
        <color rgb="FFC00000"/>
      </right>
      <top/>
      <bottom style="medium">
        <color rgb="FFC00000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 style="medium">
        <color indexed="64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</borders>
  <cellStyleXfs count="9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2" applyNumberFormat="0" applyAlignment="0" applyProtection="0"/>
    <xf numFmtId="0" fontId="1" fillId="4" borderId="11" applyNumberFormat="0" applyFont="0" applyAlignment="0" applyProtection="0"/>
    <xf numFmtId="0" fontId="24" fillId="0" borderId="0" applyFill="0" applyBorder="0"/>
    <xf numFmtId="0" fontId="25" fillId="0" borderId="0">
      <alignment horizontal="right"/>
    </xf>
    <xf numFmtId="164" fontId="26" fillId="0" borderId="0">
      <alignment horizontal="right"/>
    </xf>
    <xf numFmtId="0" fontId="27" fillId="0" borderId="0">
      <alignment horizontal="right"/>
    </xf>
  </cellStyleXfs>
  <cellXfs count="85">
    <xf numFmtId="0" fontId="0" fillId="0" borderId="0" xfId="0"/>
    <xf numFmtId="0" fontId="0" fillId="0" borderId="0" xfId="0" applyAlignment="1"/>
    <xf numFmtId="0" fontId="9" fillId="7" borderId="1" xfId="2" applyFont="1" applyFill="1"/>
    <xf numFmtId="9" fontId="9" fillId="7" borderId="1" xfId="1" applyFont="1" applyFill="1" applyBorder="1"/>
    <xf numFmtId="0" fontId="9" fillId="7" borderId="21" xfId="2" applyFont="1" applyFill="1" applyBorder="1"/>
    <xf numFmtId="0" fontId="3" fillId="8" borderId="2" xfId="3" applyFill="1"/>
    <xf numFmtId="0" fontId="0" fillId="6" borderId="0" xfId="0" applyFill="1"/>
    <xf numFmtId="0" fontId="9" fillId="7" borderId="28" xfId="2" applyFont="1" applyFill="1" applyBorder="1"/>
    <xf numFmtId="0" fontId="9" fillId="7" borderId="12" xfId="2" applyFont="1" applyFill="1" applyBorder="1"/>
    <xf numFmtId="0" fontId="9" fillId="7" borderId="29" xfId="2" applyFont="1" applyFill="1" applyBorder="1"/>
    <xf numFmtId="0" fontId="9" fillId="7" borderId="30" xfId="2" applyFont="1" applyFill="1" applyBorder="1"/>
    <xf numFmtId="0" fontId="6" fillId="9" borderId="0" xfId="0" applyFont="1" applyFill="1"/>
    <xf numFmtId="0" fontId="6" fillId="0" borderId="0" xfId="0" applyFont="1"/>
    <xf numFmtId="0" fontId="0" fillId="10" borderId="0" xfId="0" applyFill="1"/>
    <xf numFmtId="0" fontId="4" fillId="10" borderId="0" xfId="0" applyFont="1" applyFill="1"/>
    <xf numFmtId="0" fontId="6" fillId="11" borderId="0" xfId="0" applyFont="1" applyFill="1"/>
    <xf numFmtId="0" fontId="15" fillId="10" borderId="0" xfId="0" applyFont="1" applyFill="1"/>
    <xf numFmtId="0" fontId="0" fillId="12" borderId="31" xfId="0" applyFill="1" applyBorder="1"/>
    <xf numFmtId="0" fontId="20" fillId="12" borderId="31" xfId="0" applyFont="1" applyFill="1" applyBorder="1"/>
    <xf numFmtId="0" fontId="12" fillId="8" borderId="31" xfId="2" applyFont="1" applyFill="1" applyBorder="1" applyAlignment="1">
      <alignment horizontal="center"/>
    </xf>
    <xf numFmtId="0" fontId="0" fillId="8" borderId="31" xfId="0" applyFill="1" applyBorder="1"/>
    <xf numFmtId="0" fontId="3" fillId="8" borderId="31" xfId="3" applyFill="1" applyBorder="1"/>
    <xf numFmtId="164" fontId="6" fillId="11" borderId="0" xfId="0" applyNumberFormat="1" applyFont="1" applyFill="1"/>
    <xf numFmtId="0" fontId="0" fillId="13" borderId="0" xfId="0" applyFill="1"/>
    <xf numFmtId="0" fontId="15" fillId="13" borderId="0" xfId="0" applyFont="1" applyFill="1"/>
    <xf numFmtId="0" fontId="22" fillId="14" borderId="31" xfId="0" applyFont="1" applyFill="1" applyBorder="1"/>
    <xf numFmtId="0" fontId="0" fillId="14" borderId="31" xfId="0" applyFill="1" applyBorder="1"/>
    <xf numFmtId="9" fontId="0" fillId="0" borderId="0" xfId="1" applyFont="1"/>
    <xf numFmtId="11" fontId="0" fillId="0" borderId="0" xfId="0" applyNumberFormat="1"/>
    <xf numFmtId="11" fontId="0" fillId="8" borderId="31" xfId="0" applyNumberFormat="1" applyFill="1" applyBorder="1"/>
    <xf numFmtId="0" fontId="3" fillId="8" borderId="2" xfId="3" applyNumberFormat="1" applyFill="1"/>
    <xf numFmtId="0" fontId="9" fillId="12" borderId="31" xfId="2" applyFont="1" applyFill="1" applyBorder="1"/>
    <xf numFmtId="0" fontId="15" fillId="10" borderId="7" xfId="0" applyFont="1" applyFill="1" applyBorder="1" applyAlignment="1">
      <alignment horizontal="center" vertical="center"/>
    </xf>
    <xf numFmtId="0" fontId="28" fillId="0" borderId="0" xfId="0" applyFont="1" applyAlignment="1">
      <alignment horizontal="left" vertical="center" indent="1"/>
    </xf>
    <xf numFmtId="0" fontId="28" fillId="8" borderId="31" xfId="0" applyFont="1" applyFill="1" applyBorder="1" applyAlignment="1">
      <alignment horizontal="left" vertical="center" indent="1"/>
    </xf>
    <xf numFmtId="0" fontId="4" fillId="8" borderId="31" xfId="0" applyFont="1" applyFill="1" applyBorder="1"/>
    <xf numFmtId="0" fontId="29" fillId="8" borderId="2" xfId="3" applyFont="1" applyFill="1"/>
    <xf numFmtId="0" fontId="29" fillId="8" borderId="42" xfId="3" applyFont="1" applyFill="1" applyBorder="1"/>
    <xf numFmtId="0" fontId="6" fillId="9" borderId="0" xfId="0" applyFont="1" applyFill="1" applyBorder="1" applyAlignment="1">
      <alignment vertical="top" wrapText="1"/>
    </xf>
    <xf numFmtId="0" fontId="6" fillId="9" borderId="0" xfId="0" applyFont="1" applyFill="1" applyBorder="1"/>
    <xf numFmtId="0" fontId="9" fillId="11" borderId="31" xfId="2" applyFont="1" applyFill="1" applyBorder="1"/>
    <xf numFmtId="0" fontId="9" fillId="11" borderId="1" xfId="2" applyFont="1" applyFill="1"/>
    <xf numFmtId="0" fontId="0" fillId="6" borderId="3" xfId="0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 wrapText="1"/>
    </xf>
    <xf numFmtId="0" fontId="0" fillId="6" borderId="5" xfId="0" applyFill="1" applyBorder="1" applyAlignment="1">
      <alignment horizontal="center" vertical="center" wrapText="1"/>
    </xf>
    <xf numFmtId="0" fontId="0" fillId="6" borderId="6" xfId="0" applyFill="1" applyBorder="1" applyAlignment="1">
      <alignment horizontal="center" vertical="center" wrapText="1"/>
    </xf>
    <xf numFmtId="0" fontId="0" fillId="6" borderId="0" xfId="0" applyFill="1" applyBorder="1" applyAlignment="1">
      <alignment horizontal="center" vertical="center" wrapText="1"/>
    </xf>
    <xf numFmtId="0" fontId="0" fillId="6" borderId="7" xfId="0" applyFill="1" applyBorder="1" applyAlignment="1">
      <alignment horizontal="center" vertical="center" wrapText="1"/>
    </xf>
    <xf numFmtId="0" fontId="0" fillId="6" borderId="8" xfId="0" applyFill="1" applyBorder="1" applyAlignment="1">
      <alignment horizontal="center" vertical="center" wrapText="1"/>
    </xf>
    <xf numFmtId="0" fontId="0" fillId="6" borderId="9" xfId="0" applyFill="1" applyBorder="1" applyAlignment="1">
      <alignment horizontal="center" vertical="center" wrapText="1"/>
    </xf>
    <xf numFmtId="0" fontId="0" fillId="6" borderId="10" xfId="0" applyFill="1" applyBorder="1" applyAlignment="1">
      <alignment horizontal="center" vertical="center" wrapText="1"/>
    </xf>
    <xf numFmtId="0" fontId="14" fillId="10" borderId="0" xfId="0" applyFont="1" applyFill="1" applyAlignment="1">
      <alignment horizontal="center" vertical="center" wrapText="1"/>
    </xf>
    <xf numFmtId="0" fontId="18" fillId="9" borderId="13" xfId="0" applyFont="1" applyFill="1" applyBorder="1" applyAlignment="1">
      <alignment horizontal="center" vertical="center"/>
    </xf>
    <xf numFmtId="0" fontId="18" fillId="9" borderId="14" xfId="0" applyFont="1" applyFill="1" applyBorder="1" applyAlignment="1">
      <alignment horizontal="center" vertical="center"/>
    </xf>
    <xf numFmtId="0" fontId="18" fillId="9" borderId="15" xfId="0" applyFont="1" applyFill="1" applyBorder="1" applyAlignment="1">
      <alignment horizontal="center" vertical="center"/>
    </xf>
    <xf numFmtId="0" fontId="18" fillId="9" borderId="18" xfId="0" applyFont="1" applyFill="1" applyBorder="1" applyAlignment="1">
      <alignment horizontal="center" vertical="center"/>
    </xf>
    <xf numFmtId="0" fontId="18" fillId="9" borderId="19" xfId="0" applyFont="1" applyFill="1" applyBorder="1" applyAlignment="1">
      <alignment horizontal="center" vertical="center"/>
    </xf>
    <xf numFmtId="0" fontId="18" fillId="9" borderId="20" xfId="0" applyFont="1" applyFill="1" applyBorder="1" applyAlignment="1">
      <alignment horizontal="center" vertical="center"/>
    </xf>
    <xf numFmtId="0" fontId="19" fillId="11" borderId="0" xfId="0" applyFont="1" applyFill="1" applyAlignment="1">
      <alignment horizontal="center"/>
    </xf>
    <xf numFmtId="0" fontId="7" fillId="5" borderId="22" xfId="4" applyFont="1" applyFill="1" applyBorder="1" applyAlignment="1">
      <alignment horizontal="center" vertical="center" textRotation="255"/>
    </xf>
    <xf numFmtId="0" fontId="7" fillId="5" borderId="23" xfId="4" applyFont="1" applyFill="1" applyBorder="1" applyAlignment="1">
      <alignment horizontal="center" vertical="center" textRotation="255"/>
    </xf>
    <xf numFmtId="0" fontId="7" fillId="5" borderId="24" xfId="4" applyFont="1" applyFill="1" applyBorder="1" applyAlignment="1">
      <alignment horizontal="center" vertical="center" textRotation="255"/>
    </xf>
    <xf numFmtId="0" fontId="7" fillId="5" borderId="40" xfId="4" applyFont="1" applyFill="1" applyBorder="1" applyAlignment="1">
      <alignment horizontal="center" vertical="center" textRotation="255"/>
    </xf>
    <xf numFmtId="0" fontId="7" fillId="5" borderId="26" xfId="4" applyFont="1" applyFill="1" applyBorder="1" applyAlignment="1">
      <alignment horizontal="center" vertical="center" textRotation="255"/>
    </xf>
    <xf numFmtId="0" fontId="7" fillId="5" borderId="41" xfId="4" applyFont="1" applyFill="1" applyBorder="1" applyAlignment="1">
      <alignment horizontal="center" vertical="center" textRotation="255"/>
    </xf>
    <xf numFmtId="0" fontId="7" fillId="6" borderId="13" xfId="4" applyFont="1" applyFill="1" applyBorder="1" applyAlignment="1">
      <alignment horizontal="center" vertical="center" textRotation="255"/>
    </xf>
    <xf numFmtId="0" fontId="8" fillId="6" borderId="14" xfId="4" applyFont="1" applyFill="1" applyBorder="1" applyAlignment="1">
      <alignment horizontal="center" vertical="center" textRotation="255"/>
    </xf>
    <xf numFmtId="0" fontId="8" fillId="6" borderId="15" xfId="4" applyFont="1" applyFill="1" applyBorder="1" applyAlignment="1">
      <alignment horizontal="center" vertical="center" textRotation="255"/>
    </xf>
    <xf numFmtId="0" fontId="8" fillId="6" borderId="16" xfId="4" applyFont="1" applyFill="1" applyBorder="1" applyAlignment="1">
      <alignment horizontal="center" vertical="center" textRotation="255"/>
    </xf>
    <xf numFmtId="0" fontId="8" fillId="6" borderId="0" xfId="4" applyFont="1" applyFill="1" applyBorder="1" applyAlignment="1">
      <alignment horizontal="center" vertical="center" textRotation="255"/>
    </xf>
    <xf numFmtId="0" fontId="8" fillId="6" borderId="17" xfId="4" applyFont="1" applyFill="1" applyBorder="1" applyAlignment="1">
      <alignment horizontal="center" vertical="center" textRotation="255"/>
    </xf>
    <xf numFmtId="0" fontId="8" fillId="6" borderId="18" xfId="4" applyFont="1" applyFill="1" applyBorder="1" applyAlignment="1">
      <alignment horizontal="center" vertical="center" textRotation="255"/>
    </xf>
    <xf numFmtId="0" fontId="8" fillId="6" borderId="19" xfId="4" applyFont="1" applyFill="1" applyBorder="1" applyAlignment="1">
      <alignment horizontal="center" vertical="center" textRotation="255"/>
    </xf>
    <xf numFmtId="0" fontId="8" fillId="6" borderId="20" xfId="4" applyFont="1" applyFill="1" applyBorder="1" applyAlignment="1">
      <alignment horizontal="center" vertical="center" textRotation="255"/>
    </xf>
    <xf numFmtId="0" fontId="7" fillId="5" borderId="25" xfId="4" applyFont="1" applyFill="1" applyBorder="1" applyAlignment="1">
      <alignment horizontal="center" vertical="center" textRotation="255"/>
    </xf>
    <xf numFmtId="0" fontId="7" fillId="5" borderId="27" xfId="4" applyFont="1" applyFill="1" applyBorder="1" applyAlignment="1">
      <alignment horizontal="center" vertical="center" textRotation="255"/>
    </xf>
    <xf numFmtId="0" fontId="0" fillId="0" borderId="32" xfId="0" applyBorder="1" applyAlignment="1">
      <alignment horizontal="center" vertical="center" wrapText="1"/>
    </xf>
    <xf numFmtId="0" fontId="0" fillId="0" borderId="33" xfId="0" applyBorder="1" applyAlignment="1">
      <alignment horizontal="center" vertical="center" wrapText="1"/>
    </xf>
    <xf numFmtId="0" fontId="0" fillId="0" borderId="34" xfId="0" applyBorder="1" applyAlignment="1">
      <alignment horizontal="center" vertical="center" wrapText="1"/>
    </xf>
    <xf numFmtId="0" fontId="0" fillId="0" borderId="35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0" fillId="0" borderId="37" xfId="0" applyBorder="1" applyAlignment="1">
      <alignment horizontal="center" vertical="center" wrapText="1"/>
    </xf>
    <xf numFmtId="0" fontId="0" fillId="0" borderId="38" xfId="0" applyBorder="1" applyAlignment="1">
      <alignment horizontal="center" vertical="center" wrapText="1"/>
    </xf>
    <xf numFmtId="0" fontId="0" fillId="0" borderId="39" xfId="0" applyBorder="1" applyAlignment="1">
      <alignment horizontal="center" vertical="center" wrapText="1"/>
    </xf>
  </cellXfs>
  <cellStyles count="9">
    <cellStyle name="C02_Column heads" xfId="6" xr:uid="{7F756239-AF83-40D6-A0BD-0D4DDD414033}"/>
    <cellStyle name="C06_Figs" xfId="8" xr:uid="{EE2C5F71-BB4A-4090-B92A-CAC39986A776}"/>
    <cellStyle name="C08_Figs 1 decimal" xfId="7" xr:uid="{300CB3AB-58EE-4D55-91B9-8C553E4854AE}"/>
    <cellStyle name="Input" xfId="2" builtinId="20"/>
    <cellStyle name="Normal" xfId="0" builtinId="0"/>
    <cellStyle name="Normal 33" xfId="5" xr:uid="{C34A43DF-10D0-40B7-9332-4ECE575B0CC5}"/>
    <cellStyle name="Note" xfId="4" builtinId="10"/>
    <cellStyle name="Output" xfId="3" builtinId="21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'Input-Output'!$D$1</c:f>
              <c:strCache>
                <c:ptCount val="1"/>
                <c:pt idx="0">
                  <c:v>Qi,D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'Input-Output'!$C$2:$C$50</c:f>
              <c:numCache>
                <c:formatCode>General</c:formatCode>
                <c:ptCount val="49"/>
              </c:numCache>
            </c:numRef>
          </c:xVal>
          <c:yVal>
            <c:numRef>
              <c:f>'Input-Output'!$D$2:$D$50</c:f>
              <c:numCache>
                <c:formatCode>General</c:formatCode>
                <c:ptCount val="4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1A-4D67-A7B8-16C249862827}"/>
            </c:ext>
          </c:extLst>
        </c:ser>
        <c:ser>
          <c:idx val="1"/>
          <c:order val="1"/>
          <c:tx>
            <c:strRef>
              <c:f>'Input-Output'!$Q$1</c:f>
              <c:strCache>
                <c:ptCount val="1"/>
                <c:pt idx="0">
                  <c:v>Qi,M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'Input-Output'!$C$2:$C$82</c:f>
              <c:numCache>
                <c:formatCode>General</c:formatCode>
                <c:ptCount val="81"/>
              </c:numCache>
            </c:numRef>
          </c:xVal>
          <c:yVal>
            <c:numRef>
              <c:f>'Input-Output'!$Q$2:$Q$82</c:f>
              <c:numCache>
                <c:formatCode>General</c:formatCode>
                <c:ptCount val="8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1A-4D67-A7B8-16C2498628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073872"/>
        <c:axId val="582259216"/>
      </c:scatterChart>
      <c:valAx>
        <c:axId val="568073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259216"/>
        <c:crosses val="autoZero"/>
        <c:crossBetween val="midCat"/>
      </c:valAx>
      <c:valAx>
        <c:axId val="582259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Quantity []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0738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S-shaped curve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'Input-Output'!$C$2:$C$82</c:f>
              <c:numCache>
                <c:formatCode>General</c:formatCode>
                <c:ptCount val="81"/>
              </c:numCache>
            </c:numRef>
          </c:xVal>
          <c:yVal>
            <c:numRef>
              <c:f>'Input-Output'!$R$2:$R$82</c:f>
              <c:numCache>
                <c:formatCode>General</c:formatCode>
                <c:ptCount val="8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716-42E7-B3CF-BF2BA78A66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8088504"/>
        <c:axId val="588086584"/>
      </c:scatterChart>
      <c:valAx>
        <c:axId val="588088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8086584"/>
        <c:crosses val="autoZero"/>
        <c:crossBetween val="midCat"/>
      </c:valAx>
      <c:valAx>
        <c:axId val="588086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8088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'Example (1)'!$D$1</c:f>
              <c:strCache>
                <c:ptCount val="1"/>
                <c:pt idx="0">
                  <c:v>Qi,D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'Example (1)'!$C$2:$C$50</c:f>
              <c:numCache>
                <c:formatCode>General</c:formatCode>
                <c:ptCount val="49"/>
                <c:pt idx="0">
                  <c:v>1990</c:v>
                </c:pt>
                <c:pt idx="1">
                  <c:v>1995</c:v>
                </c:pt>
                <c:pt idx="2">
                  <c:v>2000</c:v>
                </c:pt>
                <c:pt idx="3">
                  <c:v>2001</c:v>
                </c:pt>
                <c:pt idx="4">
                  <c:v>2002</c:v>
                </c:pt>
                <c:pt idx="5">
                  <c:v>2003</c:v>
                </c:pt>
                <c:pt idx="6">
                  <c:v>2004</c:v>
                </c:pt>
                <c:pt idx="7">
                  <c:v>2005</c:v>
                </c:pt>
                <c:pt idx="8">
                  <c:v>2006</c:v>
                </c:pt>
                <c:pt idx="9">
                  <c:v>2007</c:v>
                </c:pt>
                <c:pt idx="10">
                  <c:v>2008</c:v>
                </c:pt>
                <c:pt idx="11">
                  <c:v>2009</c:v>
                </c:pt>
                <c:pt idx="12">
                  <c:v>2010</c:v>
                </c:pt>
                <c:pt idx="13">
                  <c:v>2011</c:v>
                </c:pt>
                <c:pt idx="14">
                  <c:v>2012</c:v>
                </c:pt>
                <c:pt idx="15">
                  <c:v>2013</c:v>
                </c:pt>
                <c:pt idx="16">
                  <c:v>2014</c:v>
                </c:pt>
                <c:pt idx="17">
                  <c:v>2015</c:v>
                </c:pt>
                <c:pt idx="18">
                  <c:v>2016</c:v>
                </c:pt>
                <c:pt idx="19">
                  <c:v>2017</c:v>
                </c:pt>
                <c:pt idx="20">
                  <c:v>2018</c:v>
                </c:pt>
                <c:pt idx="21">
                  <c:v>2019</c:v>
                </c:pt>
                <c:pt idx="22">
                  <c:v>2020</c:v>
                </c:pt>
                <c:pt idx="23">
                  <c:v>2021</c:v>
                </c:pt>
                <c:pt idx="24">
                  <c:v>2022</c:v>
                </c:pt>
                <c:pt idx="25">
                  <c:v>2023</c:v>
                </c:pt>
                <c:pt idx="26">
                  <c:v>2024</c:v>
                </c:pt>
                <c:pt idx="27">
                  <c:v>2025</c:v>
                </c:pt>
                <c:pt idx="28">
                  <c:v>2026</c:v>
                </c:pt>
                <c:pt idx="29">
                  <c:v>2027</c:v>
                </c:pt>
                <c:pt idx="30">
                  <c:v>2028</c:v>
                </c:pt>
                <c:pt idx="31">
                  <c:v>2029</c:v>
                </c:pt>
                <c:pt idx="32">
                  <c:v>2030</c:v>
                </c:pt>
                <c:pt idx="33">
                  <c:v>2031</c:v>
                </c:pt>
                <c:pt idx="34">
                  <c:v>2032</c:v>
                </c:pt>
                <c:pt idx="35">
                  <c:v>2033</c:v>
                </c:pt>
                <c:pt idx="36">
                  <c:v>2034</c:v>
                </c:pt>
                <c:pt idx="37">
                  <c:v>2035</c:v>
                </c:pt>
                <c:pt idx="38">
                  <c:v>2036</c:v>
                </c:pt>
                <c:pt idx="39">
                  <c:v>2037</c:v>
                </c:pt>
                <c:pt idx="40">
                  <c:v>2038</c:v>
                </c:pt>
                <c:pt idx="41">
                  <c:v>2039</c:v>
                </c:pt>
                <c:pt idx="42">
                  <c:v>2040</c:v>
                </c:pt>
                <c:pt idx="43">
                  <c:v>2041</c:v>
                </c:pt>
                <c:pt idx="44">
                  <c:v>2042</c:v>
                </c:pt>
                <c:pt idx="45">
                  <c:v>2043</c:v>
                </c:pt>
                <c:pt idx="46">
                  <c:v>2044</c:v>
                </c:pt>
                <c:pt idx="47">
                  <c:v>2045</c:v>
                </c:pt>
              </c:numCache>
            </c:numRef>
          </c:xVal>
          <c:yVal>
            <c:numRef>
              <c:f>'Example (1)'!$D$2:$D$50</c:f>
              <c:numCache>
                <c:formatCode>General</c:formatCode>
                <c:ptCount val="49"/>
                <c:pt idx="0">
                  <c:v>5998.25</c:v>
                </c:pt>
                <c:pt idx="1">
                  <c:v>7080.1100000000006</c:v>
                </c:pt>
                <c:pt idx="2">
                  <c:v>8384.7999999999993</c:v>
                </c:pt>
                <c:pt idx="3">
                  <c:v>8703.7999999999993</c:v>
                </c:pt>
                <c:pt idx="4">
                  <c:v>8886</c:v>
                </c:pt>
                <c:pt idx="5">
                  <c:v>9098.9</c:v>
                </c:pt>
                <c:pt idx="6">
                  <c:v>9156.1</c:v>
                </c:pt>
                <c:pt idx="7">
                  <c:v>9408.1</c:v>
                </c:pt>
                <c:pt idx="8">
                  <c:v>9689.2000000000007</c:v>
                </c:pt>
                <c:pt idx="9">
                  <c:v>10041.200000000001</c:v>
                </c:pt>
                <c:pt idx="10">
                  <c:v>10358.299999999999</c:v>
                </c:pt>
                <c:pt idx="11">
                  <c:v>10829.7</c:v>
                </c:pt>
                <c:pt idx="12">
                  <c:v>11091</c:v>
                </c:pt>
                <c:pt idx="13">
                  <c:v>11178.8</c:v>
                </c:pt>
                <c:pt idx="14">
                  <c:v>11613.7</c:v>
                </c:pt>
                <c:pt idx="15">
                  <c:v>11889</c:v>
                </c:pt>
                <c:pt idx="16">
                  <c:v>12451.5</c:v>
                </c:pt>
                <c:pt idx="17">
                  <c:v>13125.8</c:v>
                </c:pt>
                <c:pt idx="18">
                  <c:v>13568.300000000001</c:v>
                </c:pt>
                <c:pt idx="19">
                  <c:v>14033.699999999999</c:v>
                </c:pt>
                <c:pt idx="20">
                  <c:v>14601.3452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90-49B4-A8D5-41B9C81E0BCE}"/>
            </c:ext>
          </c:extLst>
        </c:ser>
        <c:ser>
          <c:idx val="1"/>
          <c:order val="1"/>
          <c:tx>
            <c:strRef>
              <c:f>'Example (1)'!$Q$1</c:f>
              <c:strCache>
                <c:ptCount val="1"/>
                <c:pt idx="0">
                  <c:v>Qi,M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'Example (1)'!$C$2:$C$82</c:f>
              <c:numCache>
                <c:formatCode>General</c:formatCode>
                <c:ptCount val="81"/>
                <c:pt idx="0">
                  <c:v>1990</c:v>
                </c:pt>
                <c:pt idx="1">
                  <c:v>1995</c:v>
                </c:pt>
                <c:pt idx="2">
                  <c:v>2000</c:v>
                </c:pt>
                <c:pt idx="3">
                  <c:v>2001</c:v>
                </c:pt>
                <c:pt idx="4">
                  <c:v>2002</c:v>
                </c:pt>
                <c:pt idx="5">
                  <c:v>2003</c:v>
                </c:pt>
                <c:pt idx="6">
                  <c:v>2004</c:v>
                </c:pt>
                <c:pt idx="7">
                  <c:v>2005</c:v>
                </c:pt>
                <c:pt idx="8">
                  <c:v>2006</c:v>
                </c:pt>
                <c:pt idx="9">
                  <c:v>2007</c:v>
                </c:pt>
                <c:pt idx="10">
                  <c:v>2008</c:v>
                </c:pt>
                <c:pt idx="11">
                  <c:v>2009</c:v>
                </c:pt>
                <c:pt idx="12">
                  <c:v>2010</c:v>
                </c:pt>
                <c:pt idx="13">
                  <c:v>2011</c:v>
                </c:pt>
                <c:pt idx="14">
                  <c:v>2012</c:v>
                </c:pt>
                <c:pt idx="15">
                  <c:v>2013</c:v>
                </c:pt>
                <c:pt idx="16">
                  <c:v>2014</c:v>
                </c:pt>
                <c:pt idx="17">
                  <c:v>2015</c:v>
                </c:pt>
                <c:pt idx="18">
                  <c:v>2016</c:v>
                </c:pt>
                <c:pt idx="19">
                  <c:v>2017</c:v>
                </c:pt>
                <c:pt idx="20">
                  <c:v>2018</c:v>
                </c:pt>
                <c:pt idx="21">
                  <c:v>2019</c:v>
                </c:pt>
                <c:pt idx="22">
                  <c:v>2020</c:v>
                </c:pt>
                <c:pt idx="23">
                  <c:v>2021</c:v>
                </c:pt>
                <c:pt idx="24">
                  <c:v>2022</c:v>
                </c:pt>
                <c:pt idx="25">
                  <c:v>2023</c:v>
                </c:pt>
                <c:pt idx="26">
                  <c:v>2024</c:v>
                </c:pt>
                <c:pt idx="27">
                  <c:v>2025</c:v>
                </c:pt>
                <c:pt idx="28">
                  <c:v>2026</c:v>
                </c:pt>
                <c:pt idx="29">
                  <c:v>2027</c:v>
                </c:pt>
                <c:pt idx="30">
                  <c:v>2028</c:v>
                </c:pt>
                <c:pt idx="31">
                  <c:v>2029</c:v>
                </c:pt>
                <c:pt idx="32">
                  <c:v>2030</c:v>
                </c:pt>
                <c:pt idx="33">
                  <c:v>2031</c:v>
                </c:pt>
                <c:pt idx="34">
                  <c:v>2032</c:v>
                </c:pt>
                <c:pt idx="35">
                  <c:v>2033</c:v>
                </c:pt>
                <c:pt idx="36">
                  <c:v>2034</c:v>
                </c:pt>
                <c:pt idx="37">
                  <c:v>2035</c:v>
                </c:pt>
                <c:pt idx="38">
                  <c:v>2036</c:v>
                </c:pt>
                <c:pt idx="39">
                  <c:v>2037</c:v>
                </c:pt>
                <c:pt idx="40">
                  <c:v>2038</c:v>
                </c:pt>
                <c:pt idx="41">
                  <c:v>2039</c:v>
                </c:pt>
                <c:pt idx="42">
                  <c:v>2040</c:v>
                </c:pt>
                <c:pt idx="43">
                  <c:v>2041</c:v>
                </c:pt>
                <c:pt idx="44">
                  <c:v>2042</c:v>
                </c:pt>
                <c:pt idx="45">
                  <c:v>2043</c:v>
                </c:pt>
                <c:pt idx="46">
                  <c:v>2044</c:v>
                </c:pt>
                <c:pt idx="47">
                  <c:v>2045</c:v>
                </c:pt>
              </c:numCache>
            </c:numRef>
          </c:xVal>
          <c:yVal>
            <c:numRef>
              <c:f>'Example (1)'!$Q$2:$Q$82</c:f>
              <c:numCache>
                <c:formatCode>General</c:formatCode>
                <c:ptCount val="81"/>
                <c:pt idx="0" formatCode="0.00E+00">
                  <c:v>5857.5382379421726</c:v>
                </c:pt>
                <c:pt idx="1">
                  <c:v>6895.257466983865</c:v>
                </c:pt>
                <c:pt idx="2">
                  <c:v>8116.8186368760562</c:v>
                </c:pt>
                <c:pt idx="3">
                  <c:v>8385.9624443552602</c:v>
                </c:pt>
                <c:pt idx="4">
                  <c:v>8664.0307322671651</c:v>
                </c:pt>
                <c:pt idx="5">
                  <c:v>8951.3194254993941</c:v>
                </c:pt>
                <c:pt idx="6">
                  <c:v>9248.1342614479763</c:v>
                </c:pt>
                <c:pt idx="7">
                  <c:v>9554.7911153881232</c:v>
                </c:pt>
                <c:pt idx="8">
                  <c:v>9871.6163366339661</c:v>
                </c:pt>
                <c:pt idx="9">
                  <c:v>10198.947095844893</c:v>
                </c:pt>
                <c:pt idx="10">
                  <c:v>10537.131743848184</c:v>
                </c:pt>
                <c:pt idx="11">
                  <c:v>10886.53018235972</c:v>
                </c:pt>
                <c:pt idx="12">
                  <c:v>11247.514246997373</c:v>
                </c:pt>
                <c:pt idx="13">
                  <c:v>11620.468102994642</c:v>
                </c:pt>
                <c:pt idx="14">
                  <c:v>12005.788654035674</c:v>
                </c:pt>
                <c:pt idx="15">
                  <c:v>12403.885964646752</c:v>
                </c:pt>
                <c:pt idx="16">
                  <c:v>12815.183696593755</c:v>
                </c:pt>
                <c:pt idx="17">
                  <c:v>13240.119559750046</c:v>
                </c:pt>
                <c:pt idx="18">
                  <c:v>13679.145777914613</c:v>
                </c:pt>
                <c:pt idx="19">
                  <c:v>14132.729570076111</c:v>
                </c:pt>
                <c:pt idx="20">
                  <c:v>14601.353647635053</c:v>
                </c:pt>
                <c:pt idx="21">
                  <c:v>15085.516728113336</c:v>
                </c:pt>
                <c:pt idx="22">
                  <c:v>15585.734065897679</c:v>
                </c:pt>
                <c:pt idx="23">
                  <c:v>16102.538000581882</c:v>
                </c:pt>
                <c:pt idx="24">
                  <c:v>16636.478523491478</c:v>
                </c:pt>
                <c:pt idx="25">
                  <c:v>17188.123862993631</c:v>
                </c:pt>
                <c:pt idx="26">
                  <c:v>17758.061089215174</c:v>
                </c:pt>
                <c:pt idx="27">
                  <c:v>18346.8967388124</c:v>
                </c:pt>
                <c:pt idx="28">
                  <c:v>18955.25746045744</c:v>
                </c:pt>
                <c:pt idx="29">
                  <c:v>19583.790681728155</c:v>
                </c:pt>
                <c:pt idx="30">
                  <c:v>20233.16529811134</c:v>
                </c:pt>
                <c:pt idx="31">
                  <c:v>20904.072384852374</c:v>
                </c:pt>
                <c:pt idx="32">
                  <c:v>21597.225932409001</c:v>
                </c:pt>
                <c:pt idx="33">
                  <c:v>22313.363606291787</c:v>
                </c:pt>
                <c:pt idx="34">
                  <c:v>23053.247532100009</c:v>
                </c:pt>
                <c:pt idx="35">
                  <c:v>23817.665106588396</c:v>
                </c:pt>
                <c:pt idx="36">
                  <c:v>24607.429835627787</c:v>
                </c:pt>
                <c:pt idx="37">
                  <c:v>25423.382199951579</c:v>
                </c:pt>
                <c:pt idx="38">
                  <c:v>26266.390549609299</c:v>
                </c:pt>
                <c:pt idx="39">
                  <c:v>27137.35202807912</c:v>
                </c:pt>
                <c:pt idx="40">
                  <c:v>28037.193527022828</c:v>
                </c:pt>
                <c:pt idx="41">
                  <c:v>28966.872672699334</c:v>
                </c:pt>
                <c:pt idx="42">
                  <c:v>29927.378845086419</c:v>
                </c:pt>
                <c:pt idx="43">
                  <c:v>30919.734230795322</c:v>
                </c:pt>
                <c:pt idx="44">
                  <c:v>31944.994910898709</c:v>
                </c:pt>
                <c:pt idx="45">
                  <c:v>33004.251984829651</c:v>
                </c:pt>
                <c:pt idx="46">
                  <c:v>34098.632731547754</c:v>
                </c:pt>
                <c:pt idx="47">
                  <c:v>35229.301809208147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390-49B4-A8D5-41B9C81E0B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073872"/>
        <c:axId val="582259216"/>
      </c:scatterChart>
      <c:valAx>
        <c:axId val="568073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259216"/>
        <c:crosses val="autoZero"/>
        <c:crossBetween val="midCat"/>
      </c:valAx>
      <c:valAx>
        <c:axId val="582259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Quantity []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0738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S-shaped curve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'Example (1)'!$C$2:$C$82</c:f>
              <c:numCache>
                <c:formatCode>General</c:formatCode>
                <c:ptCount val="81"/>
                <c:pt idx="0">
                  <c:v>1990</c:v>
                </c:pt>
                <c:pt idx="1">
                  <c:v>1995</c:v>
                </c:pt>
                <c:pt idx="2">
                  <c:v>2000</c:v>
                </c:pt>
                <c:pt idx="3">
                  <c:v>2001</c:v>
                </c:pt>
                <c:pt idx="4">
                  <c:v>2002</c:v>
                </c:pt>
                <c:pt idx="5">
                  <c:v>2003</c:v>
                </c:pt>
                <c:pt idx="6">
                  <c:v>2004</c:v>
                </c:pt>
                <c:pt idx="7">
                  <c:v>2005</c:v>
                </c:pt>
                <c:pt idx="8">
                  <c:v>2006</c:v>
                </c:pt>
                <c:pt idx="9">
                  <c:v>2007</c:v>
                </c:pt>
                <c:pt idx="10">
                  <c:v>2008</c:v>
                </c:pt>
                <c:pt idx="11">
                  <c:v>2009</c:v>
                </c:pt>
                <c:pt idx="12">
                  <c:v>2010</c:v>
                </c:pt>
                <c:pt idx="13">
                  <c:v>2011</c:v>
                </c:pt>
                <c:pt idx="14">
                  <c:v>2012</c:v>
                </c:pt>
                <c:pt idx="15">
                  <c:v>2013</c:v>
                </c:pt>
                <c:pt idx="16">
                  <c:v>2014</c:v>
                </c:pt>
                <c:pt idx="17">
                  <c:v>2015</c:v>
                </c:pt>
                <c:pt idx="18">
                  <c:v>2016</c:v>
                </c:pt>
                <c:pt idx="19">
                  <c:v>2017</c:v>
                </c:pt>
                <c:pt idx="20">
                  <c:v>2018</c:v>
                </c:pt>
                <c:pt idx="21">
                  <c:v>2019</c:v>
                </c:pt>
                <c:pt idx="22">
                  <c:v>2020</c:v>
                </c:pt>
                <c:pt idx="23">
                  <c:v>2021</c:v>
                </c:pt>
                <c:pt idx="24">
                  <c:v>2022</c:v>
                </c:pt>
                <c:pt idx="25">
                  <c:v>2023</c:v>
                </c:pt>
                <c:pt idx="26">
                  <c:v>2024</c:v>
                </c:pt>
                <c:pt idx="27">
                  <c:v>2025</c:v>
                </c:pt>
                <c:pt idx="28">
                  <c:v>2026</c:v>
                </c:pt>
                <c:pt idx="29">
                  <c:v>2027</c:v>
                </c:pt>
                <c:pt idx="30">
                  <c:v>2028</c:v>
                </c:pt>
                <c:pt idx="31">
                  <c:v>2029</c:v>
                </c:pt>
                <c:pt idx="32">
                  <c:v>2030</c:v>
                </c:pt>
                <c:pt idx="33">
                  <c:v>2031</c:v>
                </c:pt>
                <c:pt idx="34">
                  <c:v>2032</c:v>
                </c:pt>
                <c:pt idx="35">
                  <c:v>2033</c:v>
                </c:pt>
                <c:pt idx="36">
                  <c:v>2034</c:v>
                </c:pt>
                <c:pt idx="37">
                  <c:v>2035</c:v>
                </c:pt>
                <c:pt idx="38">
                  <c:v>2036</c:v>
                </c:pt>
                <c:pt idx="39">
                  <c:v>2037</c:v>
                </c:pt>
                <c:pt idx="40">
                  <c:v>2038</c:v>
                </c:pt>
                <c:pt idx="41">
                  <c:v>2039</c:v>
                </c:pt>
                <c:pt idx="42">
                  <c:v>2040</c:v>
                </c:pt>
                <c:pt idx="43">
                  <c:v>2041</c:v>
                </c:pt>
                <c:pt idx="44">
                  <c:v>2042</c:v>
                </c:pt>
                <c:pt idx="45">
                  <c:v>2043</c:v>
                </c:pt>
                <c:pt idx="46">
                  <c:v>2044</c:v>
                </c:pt>
                <c:pt idx="47">
                  <c:v>2045</c:v>
                </c:pt>
              </c:numCache>
            </c:numRef>
          </c:xVal>
          <c:yVal>
            <c:numRef>
              <c:f>'Example (1)'!$R$2:$R$82</c:f>
              <c:numCache>
                <c:formatCode>General</c:formatCode>
                <c:ptCount val="81"/>
                <c:pt idx="0">
                  <c:v>179564.04240248521</c:v>
                </c:pt>
                <c:pt idx="1">
                  <c:v>211375.53932835383</c:v>
                </c:pt>
                <c:pt idx="2">
                  <c:v>248822.74885625378</c:v>
                </c:pt>
                <c:pt idx="3">
                  <c:v>257073.40776737986</c:v>
                </c:pt>
                <c:pt idx="4">
                  <c:v>265597.64846625988</c:v>
                </c:pt>
                <c:pt idx="5">
                  <c:v>274404.5425913402</c:v>
                </c:pt>
                <c:pt idx="6">
                  <c:v>283503.46258553531</c:v>
                </c:pt>
                <c:pt idx="7">
                  <c:v>292904.09167053661</c:v>
                </c:pt>
                <c:pt idx="8">
                  <c:v>302616.43415185815</c:v>
                </c:pt>
                <c:pt idx="9">
                  <c:v>312650.82606558455</c:v>
                </c:pt>
                <c:pt idx="10">
                  <c:v>323017.94617815176</c:v>
                </c:pt>
                <c:pt idx="11">
                  <c:v>333728.8273508682</c:v>
                </c:pt>
                <c:pt idx="12">
                  <c:v>344794.86828126817</c:v>
                </c:pt>
                <c:pt idx="13">
                  <c:v>356227.84563379572</c:v>
                </c:pt>
                <c:pt idx="14">
                  <c:v>368039.92657272564</c:v>
                </c:pt>
                <c:pt idx="15">
                  <c:v>380243.68171066244</c:v>
                </c:pt>
                <c:pt idx="16">
                  <c:v>392852.09848639421</c:v>
                </c:pt>
                <c:pt idx="17">
                  <c:v>405878.59498634096</c:v>
                </c:pt>
                <c:pt idx="18">
                  <c:v>419337.03422430489</c:v>
                </c:pt>
                <c:pt idx="19">
                  <c:v>433241.73889471981</c:v>
                </c:pt>
                <c:pt idx="20">
                  <c:v>447607.50661509973</c:v>
                </c:pt>
                <c:pt idx="21">
                  <c:v>462449.62567390996</c:v>
                </c:pt>
                <c:pt idx="22">
                  <c:v>477783.89130061684</c:v>
                </c:pt>
                <c:pt idx="23">
                  <c:v>493626.62247523316</c:v>
                </c:pt>
                <c:pt idx="24">
                  <c:v>509994.6792952476</c:v>
                </c:pt>
                <c:pt idx="25">
                  <c:v>526905.48091842048</c:v>
                </c:pt>
                <c:pt idx="26">
                  <c:v>544377.02410054056</c:v>
                </c:pt>
                <c:pt idx="27">
                  <c:v>562427.90234787087</c:v>
                </c:pt>
                <c:pt idx="28">
                  <c:v>581077.32570466725</c:v>
                </c:pt>
                <c:pt idx="29">
                  <c:v>600345.14119682554</c:v>
                </c:pt>
                <c:pt idx="30">
                  <c:v>620251.85395341716</c:v>
                </c:pt>
                <c:pt idx="31">
                  <c:v>640818.64902858634</c:v>
                </c:pt>
                <c:pt idx="32">
                  <c:v>662067.41394703754</c:v>
                </c:pt>
                <c:pt idx="33">
                  <c:v>684020.76199710218</c:v>
                </c:pt>
                <c:pt idx="34">
                  <c:v>706702.05629617453</c:v>
                </c:pt>
                <c:pt idx="35">
                  <c:v>730135.43465413095</c:v>
                </c:pt>
                <c:pt idx="36">
                  <c:v>754345.83526118565</c:v>
                </c:pt>
                <c:pt idx="37">
                  <c:v>779359.02322752809</c:v>
                </c:pt>
                <c:pt idx="38">
                  <c:v>805201.61800298025</c:v>
                </c:pt>
                <c:pt idx="39">
                  <c:v>831901.12170585722</c:v>
                </c:pt>
                <c:pt idx="40">
                  <c:v>859485.94839117769</c:v>
                </c:pt>
                <c:pt idx="41">
                  <c:v>887985.45428937266</c:v>
                </c:pt>
                <c:pt idx="42">
                  <c:v>917429.96904767444</c:v>
                </c:pt>
                <c:pt idx="43">
                  <c:v>947850.82800742867</c:v>
                </c:pt>
                <c:pt idx="44">
                  <c:v>979280.4055516863</c:v>
                </c:pt>
                <c:pt idx="45">
                  <c:v>1011752.1495585584</c:v>
                </c:pt>
                <c:pt idx="46">
                  <c:v>1045300.6169970031</c:v>
                </c:pt>
                <c:pt idx="47">
                  <c:v>1079961.5107029262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94-468B-956C-E01C95A910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8088504"/>
        <c:axId val="588086584"/>
      </c:scatterChart>
      <c:valAx>
        <c:axId val="588088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8086584"/>
        <c:crosses val="autoZero"/>
        <c:crossBetween val="midCat"/>
      </c:valAx>
      <c:valAx>
        <c:axId val="588086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8088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'Example (2)'!$D$1</c:f>
              <c:strCache>
                <c:ptCount val="1"/>
                <c:pt idx="0">
                  <c:v>Qi,D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'Example (2)'!$C$2:$C$50</c:f>
              <c:numCache>
                <c:formatCode>General</c:formatCode>
                <c:ptCount val="49"/>
                <c:pt idx="0">
                  <c:v>1973</c:v>
                </c:pt>
                <c:pt idx="1">
                  <c:v>1974</c:v>
                </c:pt>
                <c:pt idx="2">
                  <c:v>1975</c:v>
                </c:pt>
                <c:pt idx="3">
                  <c:v>1976</c:v>
                </c:pt>
                <c:pt idx="4">
                  <c:v>1977</c:v>
                </c:pt>
                <c:pt idx="5">
                  <c:v>1978</c:v>
                </c:pt>
                <c:pt idx="6">
                  <c:v>1979</c:v>
                </c:pt>
                <c:pt idx="7">
                  <c:v>1980</c:v>
                </c:pt>
                <c:pt idx="8">
                  <c:v>1981</c:v>
                </c:pt>
                <c:pt idx="9">
                  <c:v>1982</c:v>
                </c:pt>
                <c:pt idx="10">
                  <c:v>1983</c:v>
                </c:pt>
                <c:pt idx="11">
                  <c:v>1984</c:v>
                </c:pt>
                <c:pt idx="12">
                  <c:v>1985</c:v>
                </c:pt>
                <c:pt idx="13">
                  <c:v>1986</c:v>
                </c:pt>
                <c:pt idx="14">
                  <c:v>1987</c:v>
                </c:pt>
                <c:pt idx="15">
                  <c:v>1988</c:v>
                </c:pt>
                <c:pt idx="16">
                  <c:v>1989</c:v>
                </c:pt>
                <c:pt idx="17">
                  <c:v>1990</c:v>
                </c:pt>
                <c:pt idx="18">
                  <c:v>1991</c:v>
                </c:pt>
                <c:pt idx="19">
                  <c:v>1992</c:v>
                </c:pt>
                <c:pt idx="20">
                  <c:v>1993</c:v>
                </c:pt>
                <c:pt idx="21">
                  <c:v>1994</c:v>
                </c:pt>
                <c:pt idx="22">
                  <c:v>1995</c:v>
                </c:pt>
                <c:pt idx="23">
                  <c:v>1996</c:v>
                </c:pt>
                <c:pt idx="24">
                  <c:v>1997</c:v>
                </c:pt>
                <c:pt idx="25">
                  <c:v>1998</c:v>
                </c:pt>
                <c:pt idx="26">
                  <c:v>1999</c:v>
                </c:pt>
                <c:pt idx="27">
                  <c:v>2000</c:v>
                </c:pt>
                <c:pt idx="28">
                  <c:v>2001</c:v>
                </c:pt>
                <c:pt idx="29">
                  <c:v>2002</c:v>
                </c:pt>
                <c:pt idx="30">
                  <c:v>2003</c:v>
                </c:pt>
                <c:pt idx="31">
                  <c:v>2004</c:v>
                </c:pt>
                <c:pt idx="32">
                  <c:v>2005</c:v>
                </c:pt>
                <c:pt idx="33">
                  <c:v>2006</c:v>
                </c:pt>
                <c:pt idx="34">
                  <c:v>2007</c:v>
                </c:pt>
                <c:pt idx="35">
                  <c:v>2008</c:v>
                </c:pt>
                <c:pt idx="36">
                  <c:v>2009</c:v>
                </c:pt>
                <c:pt idx="37">
                  <c:v>2010</c:v>
                </c:pt>
                <c:pt idx="38">
                  <c:v>2011</c:v>
                </c:pt>
                <c:pt idx="39">
                  <c:v>2012</c:v>
                </c:pt>
                <c:pt idx="40">
                  <c:v>2013</c:v>
                </c:pt>
                <c:pt idx="41">
                  <c:v>2014</c:v>
                </c:pt>
                <c:pt idx="42">
                  <c:v>2015</c:v>
                </c:pt>
                <c:pt idx="43">
                  <c:v>2016</c:v>
                </c:pt>
                <c:pt idx="44">
                  <c:v>2017</c:v>
                </c:pt>
                <c:pt idx="45">
                  <c:v>2018</c:v>
                </c:pt>
                <c:pt idx="46">
                  <c:v>2019</c:v>
                </c:pt>
                <c:pt idx="47">
                  <c:v>2020</c:v>
                </c:pt>
                <c:pt idx="48">
                  <c:v>2021</c:v>
                </c:pt>
              </c:numCache>
            </c:numRef>
          </c:xVal>
          <c:yVal>
            <c:numRef>
              <c:f>'Example (2)'!$D$2:$D$50</c:f>
              <c:numCache>
                <c:formatCode>General</c:formatCode>
                <c:ptCount val="49"/>
                <c:pt idx="0">
                  <c:v>25.38823</c:v>
                </c:pt>
                <c:pt idx="1">
                  <c:v>26.240362999999999</c:v>
                </c:pt>
                <c:pt idx="2">
                  <c:v>28.452370999999999</c:v>
                </c:pt>
                <c:pt idx="3">
                  <c:v>30.49586</c:v>
                </c:pt>
                <c:pt idx="4">
                  <c:v>33.564242</c:v>
                </c:pt>
                <c:pt idx="5">
                  <c:v>32.174216000000001</c:v>
                </c:pt>
                <c:pt idx="6">
                  <c:v>37.933272000000002</c:v>
                </c:pt>
                <c:pt idx="7">
                  <c:v>37.835208000000002</c:v>
                </c:pt>
                <c:pt idx="8">
                  <c:v>44.738939999999999</c:v>
                </c:pt>
                <c:pt idx="9">
                  <c:v>47.720286000000002</c:v>
                </c:pt>
                <c:pt idx="10">
                  <c:v>47.497866000000002</c:v>
                </c:pt>
                <c:pt idx="11">
                  <c:v>54.822206000000001</c:v>
                </c:pt>
                <c:pt idx="12">
                  <c:v>58.133695000000003</c:v>
                </c:pt>
                <c:pt idx="13">
                  <c:v>68.997249999999994</c:v>
                </c:pt>
                <c:pt idx="14">
                  <c:v>75.697582999999995</c:v>
                </c:pt>
                <c:pt idx="15">
                  <c:v>83.922488000000001</c:v>
                </c:pt>
                <c:pt idx="16">
                  <c:v>95.723837000000003</c:v>
                </c:pt>
                <c:pt idx="17">
                  <c:v>91.089563999999996</c:v>
                </c:pt>
                <c:pt idx="18">
                  <c:v>96.225247999999993</c:v>
                </c:pt>
                <c:pt idx="19">
                  <c:v>103.093521</c:v>
                </c:pt>
                <c:pt idx="20">
                  <c:v>114.470024</c:v>
                </c:pt>
                <c:pt idx="21">
                  <c:v>129.52032800000001</c:v>
                </c:pt>
                <c:pt idx="22">
                  <c:v>139.00563299999999</c:v>
                </c:pt>
                <c:pt idx="23">
                  <c:v>143.48543799999999</c:v>
                </c:pt>
                <c:pt idx="24">
                  <c:v>157.831357</c:v>
                </c:pt>
                <c:pt idx="25">
                  <c:v>166.83594600000001</c:v>
                </c:pt>
                <c:pt idx="26">
                  <c:v>183.09737200000001</c:v>
                </c:pt>
                <c:pt idx="27">
                  <c:v>196.247288</c:v>
                </c:pt>
                <c:pt idx="28">
                  <c:v>213.309077</c:v>
                </c:pt>
                <c:pt idx="29">
                  <c:v>232.23407800000001</c:v>
                </c:pt>
                <c:pt idx="30">
                  <c:v>248.66025200000001</c:v>
                </c:pt>
                <c:pt idx="31">
                  <c:v>274.38306699999998</c:v>
                </c:pt>
                <c:pt idx="32">
                  <c:v>300.35035399999998</c:v>
                </c:pt>
                <c:pt idx="33">
                  <c:v>326.167958</c:v>
                </c:pt>
                <c:pt idx="34">
                  <c:v>351.912398</c:v>
                </c:pt>
                <c:pt idx="35">
                  <c:v>381.77021000000002</c:v>
                </c:pt>
                <c:pt idx="36">
                  <c:v>401.02278899999999</c:v>
                </c:pt>
                <c:pt idx="37">
                  <c:v>463.348052</c:v>
                </c:pt>
                <c:pt idx="38">
                  <c:v>493.242704</c:v>
                </c:pt>
                <c:pt idx="39">
                  <c:v>518.139904</c:v>
                </c:pt>
                <c:pt idx="40">
                  <c:v>544.68164899999999</c:v>
                </c:pt>
                <c:pt idx="41">
                  <c:v>558.78795200000002</c:v>
                </c:pt>
                <c:pt idx="42">
                  <c:v>579.08886500000006</c:v>
                </c:pt>
                <c:pt idx="43">
                  <c:v>600.14757199999997</c:v>
                </c:pt>
                <c:pt idx="44">
                  <c:v>627.21752200000003</c:v>
                </c:pt>
                <c:pt idx="45">
                  <c:v>650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AB3-4C43-A183-912368F8C449}"/>
            </c:ext>
          </c:extLst>
        </c:ser>
        <c:ser>
          <c:idx val="1"/>
          <c:order val="1"/>
          <c:tx>
            <c:strRef>
              <c:f>'Example (2)'!$Q$1</c:f>
              <c:strCache>
                <c:ptCount val="1"/>
                <c:pt idx="0">
                  <c:v>Qi,M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'Example (2)'!$C$2:$C$82</c:f>
              <c:numCache>
                <c:formatCode>General</c:formatCode>
                <c:ptCount val="81"/>
                <c:pt idx="0">
                  <c:v>1973</c:v>
                </c:pt>
                <c:pt idx="1">
                  <c:v>1974</c:v>
                </c:pt>
                <c:pt idx="2">
                  <c:v>1975</c:v>
                </c:pt>
                <c:pt idx="3">
                  <c:v>1976</c:v>
                </c:pt>
                <c:pt idx="4">
                  <c:v>1977</c:v>
                </c:pt>
                <c:pt idx="5">
                  <c:v>1978</c:v>
                </c:pt>
                <c:pt idx="6">
                  <c:v>1979</c:v>
                </c:pt>
                <c:pt idx="7">
                  <c:v>1980</c:v>
                </c:pt>
                <c:pt idx="8">
                  <c:v>1981</c:v>
                </c:pt>
                <c:pt idx="9">
                  <c:v>1982</c:v>
                </c:pt>
                <c:pt idx="10">
                  <c:v>1983</c:v>
                </c:pt>
                <c:pt idx="11">
                  <c:v>1984</c:v>
                </c:pt>
                <c:pt idx="12">
                  <c:v>1985</c:v>
                </c:pt>
                <c:pt idx="13">
                  <c:v>1986</c:v>
                </c:pt>
                <c:pt idx="14">
                  <c:v>1987</c:v>
                </c:pt>
                <c:pt idx="15">
                  <c:v>1988</c:v>
                </c:pt>
                <c:pt idx="16">
                  <c:v>1989</c:v>
                </c:pt>
                <c:pt idx="17">
                  <c:v>1990</c:v>
                </c:pt>
                <c:pt idx="18">
                  <c:v>1991</c:v>
                </c:pt>
                <c:pt idx="19">
                  <c:v>1992</c:v>
                </c:pt>
                <c:pt idx="20">
                  <c:v>1993</c:v>
                </c:pt>
                <c:pt idx="21">
                  <c:v>1994</c:v>
                </c:pt>
                <c:pt idx="22">
                  <c:v>1995</c:v>
                </c:pt>
                <c:pt idx="23">
                  <c:v>1996</c:v>
                </c:pt>
                <c:pt idx="24">
                  <c:v>1997</c:v>
                </c:pt>
                <c:pt idx="25">
                  <c:v>1998</c:v>
                </c:pt>
                <c:pt idx="26">
                  <c:v>1999</c:v>
                </c:pt>
                <c:pt idx="27">
                  <c:v>2000</c:v>
                </c:pt>
                <c:pt idx="28">
                  <c:v>2001</c:v>
                </c:pt>
                <c:pt idx="29">
                  <c:v>2002</c:v>
                </c:pt>
                <c:pt idx="30">
                  <c:v>2003</c:v>
                </c:pt>
                <c:pt idx="31">
                  <c:v>2004</c:v>
                </c:pt>
                <c:pt idx="32">
                  <c:v>2005</c:v>
                </c:pt>
                <c:pt idx="33">
                  <c:v>2006</c:v>
                </c:pt>
                <c:pt idx="34">
                  <c:v>2007</c:v>
                </c:pt>
                <c:pt idx="35">
                  <c:v>2008</c:v>
                </c:pt>
                <c:pt idx="36">
                  <c:v>2009</c:v>
                </c:pt>
                <c:pt idx="37">
                  <c:v>2010</c:v>
                </c:pt>
                <c:pt idx="38">
                  <c:v>2011</c:v>
                </c:pt>
                <c:pt idx="39">
                  <c:v>2012</c:v>
                </c:pt>
                <c:pt idx="40">
                  <c:v>2013</c:v>
                </c:pt>
                <c:pt idx="41">
                  <c:v>2014</c:v>
                </c:pt>
                <c:pt idx="42">
                  <c:v>2015</c:v>
                </c:pt>
                <c:pt idx="43">
                  <c:v>2016</c:v>
                </c:pt>
                <c:pt idx="44">
                  <c:v>2017</c:v>
                </c:pt>
                <c:pt idx="45">
                  <c:v>2018</c:v>
                </c:pt>
                <c:pt idx="46">
                  <c:v>2019</c:v>
                </c:pt>
                <c:pt idx="47">
                  <c:v>2020</c:v>
                </c:pt>
                <c:pt idx="48">
                  <c:v>2021</c:v>
                </c:pt>
                <c:pt idx="49">
                  <c:v>2022</c:v>
                </c:pt>
                <c:pt idx="50">
                  <c:v>2023</c:v>
                </c:pt>
                <c:pt idx="51">
                  <c:v>2024</c:v>
                </c:pt>
                <c:pt idx="52">
                  <c:v>2025</c:v>
                </c:pt>
                <c:pt idx="53">
                  <c:v>2026</c:v>
                </c:pt>
                <c:pt idx="54">
                  <c:v>2027</c:v>
                </c:pt>
                <c:pt idx="55">
                  <c:v>2028</c:v>
                </c:pt>
                <c:pt idx="56">
                  <c:v>2029</c:v>
                </c:pt>
                <c:pt idx="57">
                  <c:v>2030</c:v>
                </c:pt>
                <c:pt idx="58">
                  <c:v>2031</c:v>
                </c:pt>
                <c:pt idx="59">
                  <c:v>2032</c:v>
                </c:pt>
                <c:pt idx="60">
                  <c:v>2033</c:v>
                </c:pt>
                <c:pt idx="61">
                  <c:v>2034</c:v>
                </c:pt>
                <c:pt idx="62">
                  <c:v>2035</c:v>
                </c:pt>
                <c:pt idx="63">
                  <c:v>2036</c:v>
                </c:pt>
                <c:pt idx="64">
                  <c:v>2037</c:v>
                </c:pt>
                <c:pt idx="65">
                  <c:v>2038</c:v>
                </c:pt>
                <c:pt idx="66">
                  <c:v>2039</c:v>
                </c:pt>
                <c:pt idx="67">
                  <c:v>2040</c:v>
                </c:pt>
                <c:pt idx="68">
                  <c:v>2041</c:v>
                </c:pt>
                <c:pt idx="69">
                  <c:v>2042</c:v>
                </c:pt>
                <c:pt idx="70">
                  <c:v>2043</c:v>
                </c:pt>
                <c:pt idx="71">
                  <c:v>2044</c:v>
                </c:pt>
                <c:pt idx="72">
                  <c:v>2045</c:v>
                </c:pt>
                <c:pt idx="73">
                  <c:v>2046</c:v>
                </c:pt>
                <c:pt idx="74">
                  <c:v>2047</c:v>
                </c:pt>
                <c:pt idx="75">
                  <c:v>2048</c:v>
                </c:pt>
                <c:pt idx="76">
                  <c:v>2049</c:v>
                </c:pt>
                <c:pt idx="77">
                  <c:v>2050</c:v>
                </c:pt>
              </c:numCache>
            </c:numRef>
          </c:xVal>
          <c:yVal>
            <c:numRef>
              <c:f>'Example (2)'!$Q$2:$Q$82</c:f>
              <c:numCache>
                <c:formatCode>General</c:formatCode>
                <c:ptCount val="81"/>
                <c:pt idx="0">
                  <c:v>24.674916806446262</c:v>
                </c:pt>
                <c:pt idx="1">
                  <c:v>26.732263257888178</c:v>
                </c:pt>
                <c:pt idx="2">
                  <c:v>28.959304123342051</c:v>
                </c:pt>
                <c:pt idx="3">
                  <c:v>31.369714899987912</c:v>
                </c:pt>
                <c:pt idx="4">
                  <c:v>33.97821709780321</c:v>
                </c:pt>
                <c:pt idx="5">
                  <c:v>36.800648370490343</c:v>
                </c:pt>
                <c:pt idx="6">
                  <c:v>39.85403555468482</c:v>
                </c:pt>
                <c:pt idx="7">
                  <c:v>43.156670377010187</c:v>
                </c:pt>
                <c:pt idx="8">
                  <c:v>46.728187493828841</c:v>
                </c:pt>
                <c:pt idx="9">
                  <c:v>50.589644415544143</c:v>
                </c:pt>
                <c:pt idx="10">
                  <c:v>54.763602733392702</c:v>
                </c:pt>
                <c:pt idx="11">
                  <c:v>59.274209908932541</c:v>
                </c:pt>
                <c:pt idx="12">
                  <c:v>64.147280701747974</c:v>
                </c:pt>
                <c:pt idx="13">
                  <c:v>69.410377095927885</c:v>
                </c:pt>
                <c:pt idx="14">
                  <c:v>75.092885337130582</c:v>
                </c:pt>
                <c:pt idx="15">
                  <c:v>81.226088405953021</c:v>
                </c:pt>
                <c:pt idx="16">
                  <c:v>87.84323192632462</c:v>
                </c:pt>
                <c:pt idx="17">
                  <c:v>94.979581136367457</c:v>
                </c:pt>
                <c:pt idx="18">
                  <c:v>102.67246613060618</c:v>
                </c:pt>
                <c:pt idx="19">
                  <c:v>110.96131211421618</c:v>
                </c:pt>
                <c:pt idx="20">
                  <c:v>119.88765089079268</c:v>
                </c:pt>
                <c:pt idx="21">
                  <c:v>129.49510923494711</c:v>
                </c:pt>
                <c:pt idx="22">
                  <c:v>139.82936918189134</c:v>
                </c:pt>
                <c:pt idx="23">
                  <c:v>150.93809460265317</c:v>
                </c:pt>
                <c:pt idx="24">
                  <c:v>162.87081773368419</c:v>
                </c:pt>
                <c:pt idx="25">
                  <c:v>175.67877860568143</c:v>
                </c:pt>
                <c:pt idx="26">
                  <c:v>189.41470958615432</c:v>
                </c:pt>
                <c:pt idx="27">
                  <c:v>204.13255653789321</c:v>
                </c:pt>
                <c:pt idx="28">
                  <c:v>219.88712743318308</c:v>
                </c:pt>
                <c:pt idx="29">
                  <c:v>236.7336586927488</c:v>
                </c:pt>
                <c:pt idx="30">
                  <c:v>254.7272890909698</c:v>
                </c:pt>
                <c:pt idx="31">
                  <c:v>273.92243084866902</c:v>
                </c:pt>
                <c:pt idx="32">
                  <c:v>294.37202759831666</c:v>
                </c:pt>
                <c:pt idx="33">
                  <c:v>316.12668934362961</c:v>
                </c:pt>
                <c:pt idx="34">
                  <c:v>339.23369544912629</c:v>
                </c:pt>
                <c:pt idx="35">
                  <c:v>363.73585819975187</c:v>
                </c:pt>
                <c:pt idx="36">
                  <c:v>389.6702416896789</c:v>
                </c:pt>
                <c:pt idx="37">
                  <c:v>417.0667338606105</c:v>
                </c:pt>
                <c:pt idx="38">
                  <c:v>445.94647353848035</c:v>
                </c:pt>
                <c:pt idx="39">
                  <c:v>476.32013942617328</c:v>
                </c:pt>
                <c:pt idx="40">
                  <c:v>508.18611428644977</c:v>
                </c:pt>
                <c:pt idx="41">
                  <c:v>541.52854504016852</c:v>
                </c:pt>
                <c:pt idx="42">
                  <c:v>576.31532819639017</c:v>
                </c:pt>
                <c:pt idx="43">
                  <c:v>612.49605982718651</c:v>
                </c:pt>
                <c:pt idx="44">
                  <c:v>649.99999999999989</c:v>
                </c:pt>
                <c:pt idx="45">
                  <c:v>688.73411285531142</c:v>
                </c:pt>
                <c:pt idx="46">
                  <c:v>728.58125489072495</c:v>
                </c:pt>
                <c:pt idx="47">
                  <c:v>769.39859484736064</c:v>
                </c:pt>
                <c:pt idx="48">
                  <c:v>811.01635809084439</c:v>
                </c:pt>
                <c:pt idx="49">
                  <c:v>853.23699558799012</c:v>
                </c:pt>
                <c:pt idx="50">
                  <c:v>895.83488143657155</c:v>
                </c:pt>
                <c:pt idx="51">
                  <c:v>938.5566422865104</c:v>
                </c:pt>
                <c:pt idx="52">
                  <c:v>981.12221579952654</c:v>
                </c:pt>
                <c:pt idx="53">
                  <c:v>1023.226722569781</c:v>
                </c:pt>
                <c:pt idx="54">
                  <c:v>1064.5432159750019</c:v>
                </c:pt>
                <c:pt idx="55">
                  <c:v>1104.7263469583609</c:v>
                </c:pt>
                <c:pt idx="56">
                  <c:v>1143.4169460132828</c:v>
                </c:pt>
                <c:pt idx="57">
                  <c:v>1180.2474835742751</c:v>
                </c:pt>
                <c:pt idx="58">
                  <c:v>1214.848324254451</c:v>
                </c:pt>
                <c:pt idx="59">
                  <c:v>1246.8546422955644</c:v>
                </c:pt>
                <c:pt idx="60">
                  <c:v>1275.9138182395909</c:v>
                </c:pt>
                <c:pt idx="61">
                  <c:v>1301.6930936944082</c:v>
                </c:pt>
                <c:pt idx="62">
                  <c:v>1323.8872258520448</c:v>
                </c:pt>
                <c:pt idx="63">
                  <c:v>1342.2258596814006</c:v>
                </c:pt>
                <c:pt idx="64">
                  <c:v>1356.4803264778857</c:v>
                </c:pt>
                <c:pt idx="65">
                  <c:v>1366.4695848104222</c:v>
                </c:pt>
                <c:pt idx="66">
                  <c:v>1372.0650447184366</c:v>
                </c:pt>
                <c:pt idx="67">
                  <c:v>1373.1940576791546</c:v>
                </c:pt>
                <c:pt idx="68">
                  <c:v>1369.8419112769634</c:v>
                </c:pt>
                <c:pt idx="69">
                  <c:v>1362.0522351574275</c:v>
                </c:pt>
                <c:pt idx="70">
                  <c:v>1349.9257991349032</c:v>
                </c:pt>
                <c:pt idx="71">
                  <c:v>1333.617759978169</c:v>
                </c:pt>
                <c:pt idx="72">
                  <c:v>1313.3334850187603</c:v>
                </c:pt>
                <c:pt idx="73">
                  <c:v>1289.32314331267</c:v>
                </c:pt>
                <c:pt idx="74">
                  <c:v>1261.8753045331971</c:v>
                </c:pt>
                <c:pt idx="75">
                  <c:v>1231.3098192416767</c:v>
                </c:pt>
                <c:pt idx="76">
                  <c:v>1197.9702703095643</c:v>
                </c:pt>
                <c:pt idx="77">
                  <c:v>1162.21628419129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AB3-4C43-A183-912368F8C4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073872"/>
        <c:axId val="582259216"/>
      </c:scatterChart>
      <c:valAx>
        <c:axId val="568073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259216"/>
        <c:crosses val="autoZero"/>
        <c:crossBetween val="midCat"/>
      </c:valAx>
      <c:valAx>
        <c:axId val="582259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Quantity []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0738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S-shaped curve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'Example (2)'!$C$2:$C$82</c:f>
              <c:numCache>
                <c:formatCode>General</c:formatCode>
                <c:ptCount val="81"/>
                <c:pt idx="0">
                  <c:v>1973</c:v>
                </c:pt>
                <c:pt idx="1">
                  <c:v>1974</c:v>
                </c:pt>
                <c:pt idx="2">
                  <c:v>1975</c:v>
                </c:pt>
                <c:pt idx="3">
                  <c:v>1976</c:v>
                </c:pt>
                <c:pt idx="4">
                  <c:v>1977</c:v>
                </c:pt>
                <c:pt idx="5">
                  <c:v>1978</c:v>
                </c:pt>
                <c:pt idx="6">
                  <c:v>1979</c:v>
                </c:pt>
                <c:pt idx="7">
                  <c:v>1980</c:v>
                </c:pt>
                <c:pt idx="8">
                  <c:v>1981</c:v>
                </c:pt>
                <c:pt idx="9">
                  <c:v>1982</c:v>
                </c:pt>
                <c:pt idx="10">
                  <c:v>1983</c:v>
                </c:pt>
                <c:pt idx="11">
                  <c:v>1984</c:v>
                </c:pt>
                <c:pt idx="12">
                  <c:v>1985</c:v>
                </c:pt>
                <c:pt idx="13">
                  <c:v>1986</c:v>
                </c:pt>
                <c:pt idx="14">
                  <c:v>1987</c:v>
                </c:pt>
                <c:pt idx="15">
                  <c:v>1988</c:v>
                </c:pt>
                <c:pt idx="16">
                  <c:v>1989</c:v>
                </c:pt>
                <c:pt idx="17">
                  <c:v>1990</c:v>
                </c:pt>
                <c:pt idx="18">
                  <c:v>1991</c:v>
                </c:pt>
                <c:pt idx="19">
                  <c:v>1992</c:v>
                </c:pt>
                <c:pt idx="20">
                  <c:v>1993</c:v>
                </c:pt>
                <c:pt idx="21">
                  <c:v>1994</c:v>
                </c:pt>
                <c:pt idx="22">
                  <c:v>1995</c:v>
                </c:pt>
                <c:pt idx="23">
                  <c:v>1996</c:v>
                </c:pt>
                <c:pt idx="24">
                  <c:v>1997</c:v>
                </c:pt>
                <c:pt idx="25">
                  <c:v>1998</c:v>
                </c:pt>
                <c:pt idx="26">
                  <c:v>1999</c:v>
                </c:pt>
                <c:pt idx="27">
                  <c:v>2000</c:v>
                </c:pt>
                <c:pt idx="28">
                  <c:v>2001</c:v>
                </c:pt>
                <c:pt idx="29">
                  <c:v>2002</c:v>
                </c:pt>
                <c:pt idx="30">
                  <c:v>2003</c:v>
                </c:pt>
                <c:pt idx="31">
                  <c:v>2004</c:v>
                </c:pt>
                <c:pt idx="32">
                  <c:v>2005</c:v>
                </c:pt>
                <c:pt idx="33">
                  <c:v>2006</c:v>
                </c:pt>
                <c:pt idx="34">
                  <c:v>2007</c:v>
                </c:pt>
                <c:pt idx="35">
                  <c:v>2008</c:v>
                </c:pt>
                <c:pt idx="36">
                  <c:v>2009</c:v>
                </c:pt>
                <c:pt idx="37">
                  <c:v>2010</c:v>
                </c:pt>
                <c:pt idx="38">
                  <c:v>2011</c:v>
                </c:pt>
                <c:pt idx="39">
                  <c:v>2012</c:v>
                </c:pt>
                <c:pt idx="40">
                  <c:v>2013</c:v>
                </c:pt>
                <c:pt idx="41">
                  <c:v>2014</c:v>
                </c:pt>
                <c:pt idx="42">
                  <c:v>2015</c:v>
                </c:pt>
                <c:pt idx="43">
                  <c:v>2016</c:v>
                </c:pt>
                <c:pt idx="44">
                  <c:v>2017</c:v>
                </c:pt>
                <c:pt idx="45">
                  <c:v>2018</c:v>
                </c:pt>
                <c:pt idx="46">
                  <c:v>2019</c:v>
                </c:pt>
                <c:pt idx="47">
                  <c:v>2020</c:v>
                </c:pt>
                <c:pt idx="48">
                  <c:v>2021</c:v>
                </c:pt>
                <c:pt idx="49">
                  <c:v>2022</c:v>
                </c:pt>
                <c:pt idx="50">
                  <c:v>2023</c:v>
                </c:pt>
                <c:pt idx="51">
                  <c:v>2024</c:v>
                </c:pt>
                <c:pt idx="52">
                  <c:v>2025</c:v>
                </c:pt>
                <c:pt idx="53">
                  <c:v>2026</c:v>
                </c:pt>
                <c:pt idx="54">
                  <c:v>2027</c:v>
                </c:pt>
                <c:pt idx="55">
                  <c:v>2028</c:v>
                </c:pt>
                <c:pt idx="56">
                  <c:v>2029</c:v>
                </c:pt>
                <c:pt idx="57">
                  <c:v>2030</c:v>
                </c:pt>
                <c:pt idx="58">
                  <c:v>2031</c:v>
                </c:pt>
                <c:pt idx="59">
                  <c:v>2032</c:v>
                </c:pt>
                <c:pt idx="60">
                  <c:v>2033</c:v>
                </c:pt>
                <c:pt idx="61">
                  <c:v>2034</c:v>
                </c:pt>
                <c:pt idx="62">
                  <c:v>2035</c:v>
                </c:pt>
                <c:pt idx="63">
                  <c:v>2036</c:v>
                </c:pt>
                <c:pt idx="64">
                  <c:v>2037</c:v>
                </c:pt>
                <c:pt idx="65">
                  <c:v>2038</c:v>
                </c:pt>
                <c:pt idx="66">
                  <c:v>2039</c:v>
                </c:pt>
                <c:pt idx="67">
                  <c:v>2040</c:v>
                </c:pt>
                <c:pt idx="68">
                  <c:v>2041</c:v>
                </c:pt>
                <c:pt idx="69">
                  <c:v>2042</c:v>
                </c:pt>
                <c:pt idx="70">
                  <c:v>2043</c:v>
                </c:pt>
                <c:pt idx="71">
                  <c:v>2044</c:v>
                </c:pt>
                <c:pt idx="72">
                  <c:v>2045</c:v>
                </c:pt>
                <c:pt idx="73">
                  <c:v>2046</c:v>
                </c:pt>
                <c:pt idx="74">
                  <c:v>2047</c:v>
                </c:pt>
                <c:pt idx="75">
                  <c:v>2048</c:v>
                </c:pt>
                <c:pt idx="76">
                  <c:v>2049</c:v>
                </c:pt>
                <c:pt idx="77">
                  <c:v>2050</c:v>
                </c:pt>
              </c:numCache>
            </c:numRef>
          </c:xVal>
          <c:yVal>
            <c:numRef>
              <c:f>'Example (2)'!$R$2:$R$82</c:f>
              <c:numCache>
                <c:formatCode>General</c:formatCode>
                <c:ptCount val="81"/>
                <c:pt idx="0">
                  <c:v>306.60099284425962</c:v>
                </c:pt>
                <c:pt idx="1">
                  <c:v>332.29098515600759</c:v>
                </c:pt>
                <c:pt idx="2">
                  <c:v>360.12207329166398</c:v>
                </c:pt>
                <c:pt idx="3">
                  <c:v>390.27070508813176</c:v>
                </c:pt>
                <c:pt idx="4">
                  <c:v>422.92752116762892</c:v>
                </c:pt>
                <c:pt idx="5">
                  <c:v>458.2984357657665</c:v>
                </c:pt>
                <c:pt idx="6">
                  <c:v>496.60578916122063</c:v>
                </c:pt>
                <c:pt idx="7">
                  <c:v>538.08957450225819</c:v>
                </c:pt>
                <c:pt idx="8">
                  <c:v>583.00874153900384</c:v>
                </c:pt>
                <c:pt idx="9">
                  <c:v>631.6425793803204</c:v>
                </c:pt>
                <c:pt idx="10">
                  <c:v>684.29217988092034</c:v>
                </c:pt>
                <c:pt idx="11">
                  <c:v>741.28198260553381</c:v>
                </c:pt>
                <c:pt idx="12">
                  <c:v>802.96140148717438</c:v>
                </c:pt>
                <c:pt idx="13">
                  <c:v>869.70653226727461</c:v>
                </c:pt>
                <c:pt idx="14">
                  <c:v>941.92193854459651</c:v>
                </c:pt>
                <c:pt idx="15">
                  <c:v>1020.0425127318571</c:v>
                </c:pt>
                <c:pt idx="16">
                  <c:v>1104.5354063847756</c:v>
                </c:pt>
                <c:pt idx="17">
                  <c:v>1195.9020221851606</c:v>
                </c:pt>
                <c:pt idx="18">
                  <c:v>1294.6800572818606</c:v>
                </c:pt>
                <c:pt idx="19">
                  <c:v>1401.4455846723979</c:v>
                </c:pt>
                <c:pt idx="20">
                  <c:v>1516.8151557934809</c:v>
                </c:pt>
                <c:pt idx="21">
                  <c:v>1641.4479034291603</c:v>
                </c:pt>
                <c:pt idx="22">
                  <c:v>1776.0476193910843</c:v>
                </c:pt>
                <c:pt idx="23">
                  <c:v>1921.3647761291124</c:v>
                </c:pt>
                <c:pt idx="24">
                  <c:v>2078.1984554518663</c:v>
                </c:pt>
                <c:pt idx="25">
                  <c:v>2247.3981408449113</c:v>
                </c:pt>
                <c:pt idx="26">
                  <c:v>2429.8653224535992</c:v>
                </c:pt>
                <c:pt idx="27">
                  <c:v>2626.5548556532394</c:v>
                </c:pt>
                <c:pt idx="28">
                  <c:v>2838.4760052944789</c:v>
                </c:pt>
                <c:pt idx="29">
                  <c:v>3066.6930982566523</c:v>
                </c:pt>
                <c:pt idx="30">
                  <c:v>3312.3256969826211</c:v>
                </c:pt>
                <c:pt idx="31">
                  <c:v>3576.5481963798452</c:v>
                </c:pt>
                <c:pt idx="32">
                  <c:v>3860.5887360982856</c:v>
                </c:pt>
                <c:pt idx="33">
                  <c:v>4165.7273100639268</c:v>
                </c:pt>
                <c:pt idx="34">
                  <c:v>4493.2929456811771</c:v>
                </c:pt>
                <c:pt idx="35">
                  <c:v>4844.6598168509481</c:v>
                </c:pt>
                <c:pt idx="36">
                  <c:v>5221.2421485359746</c:v>
                </c:pt>
                <c:pt idx="37">
                  <c:v>5624.4877668191702</c:v>
                </c:pt>
                <c:pt idx="38">
                  <c:v>6055.8701481498192</c:v>
                </c:pt>
                <c:pt idx="39">
                  <c:v>6516.8788257815168</c:v>
                </c:pt>
                <c:pt idx="40">
                  <c:v>7009.0080214016198</c:v>
                </c:pt>
                <c:pt idx="41">
                  <c:v>7533.7433868299486</c:v>
                </c:pt>
                <c:pt idx="42">
                  <c:v>8092.5467656378005</c:v>
                </c:pt>
                <c:pt idx="43">
                  <c:v>8686.838918767593</c:v>
                </c:pt>
                <c:pt idx="44">
                  <c:v>9317.9802027325168</c:v>
                </c:pt>
                <c:pt idx="45">
                  <c:v>9987.2492444955151</c:v>
                </c:pt>
                <c:pt idx="46">
                  <c:v>10695.819724017081</c:v>
                </c:pt>
                <c:pt idx="47">
                  <c:v>11444.735453515692</c:v>
                </c:pt>
                <c:pt idx="48">
                  <c:v>12234.884030777746</c:v>
                </c:pt>
                <c:pt idx="49">
                  <c:v>13066.969440584202</c:v>
                </c:pt>
                <c:pt idx="50">
                  <c:v>13941.484080676075</c:v>
                </c:pt>
                <c:pt idx="51">
                  <c:v>14858.680792748821</c:v>
                </c:pt>
                <c:pt idx="52">
                  <c:v>15818.545579715515</c:v>
                </c:pt>
                <c:pt idx="53">
                  <c:v>16820.771781842213</c:v>
                </c:pt>
                <c:pt idx="54">
                  <c:v>17864.73655942651</c:v>
                </c:pt>
                <c:pt idx="55">
                  <c:v>18949.480581050095</c:v>
                </c:pt>
                <c:pt idx="56">
                  <c:v>20073.691836649883</c:v>
                </c:pt>
                <c:pt idx="57">
                  <c:v>21235.694476861048</c:v>
                </c:pt>
                <c:pt idx="58">
                  <c:v>22433.443518709926</c:v>
                </c:pt>
                <c:pt idx="59">
                  <c:v>23664.526149213369</c:v>
                </c:pt>
                <c:pt idx="60">
                  <c:v>24926.170201928111</c:v>
                </c:pt>
                <c:pt idx="61">
                  <c:v>26215.260179429271</c:v>
                </c:pt>
                <c:pt idx="62">
                  <c:v>27528.360953148993</c:v>
                </c:pt>
                <c:pt idx="63">
                  <c:v>28861.749000703083</c:v>
                </c:pt>
                <c:pt idx="64">
                  <c:v>30211.450752823195</c:v>
                </c:pt>
                <c:pt idx="65">
                  <c:v>31573.287332933669</c:v>
                </c:pt>
                <c:pt idx="66">
                  <c:v>32942.92469940587</c:v>
                </c:pt>
                <c:pt idx="67">
                  <c:v>34315.927960870184</c:v>
                </c:pt>
                <c:pt idx="68">
                  <c:v>35687.818444589109</c:v>
                </c:pt>
                <c:pt idx="69">
                  <c:v>37054.131969894181</c:v>
                </c:pt>
                <c:pt idx="70">
                  <c:v>38410.476722074789</c:v>
                </c:pt>
                <c:pt idx="71">
                  <c:v>39752.589140917094</c:v>
                </c:pt>
                <c:pt idx="72">
                  <c:v>41076.386330980597</c:v>
                </c:pt>
                <c:pt idx="73">
                  <c:v>42378.013661078367</c:v>
                </c:pt>
                <c:pt idx="74">
                  <c:v>43653.88643711574</c:v>
                </c:pt>
                <c:pt idx="75">
                  <c:v>44900.724790766522</c:v>
                </c:pt>
                <c:pt idx="76">
                  <c:v>46115.581209637356</c:v>
                </c:pt>
                <c:pt idx="77">
                  <c:v>47295.860425196959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296-4002-B123-9D79411870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8088504"/>
        <c:axId val="588086584"/>
      </c:scatterChart>
      <c:valAx>
        <c:axId val="588088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8086584"/>
        <c:crosses val="autoZero"/>
        <c:crossBetween val="midCat"/>
      </c:valAx>
      <c:valAx>
        <c:axId val="588086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8088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'Example (3)'!$D$1</c:f>
              <c:strCache>
                <c:ptCount val="1"/>
                <c:pt idx="0">
                  <c:v>Qi,D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'Example (3)'!$C$2:$C$50</c:f>
              <c:numCache>
                <c:formatCode>General</c:formatCode>
                <c:ptCount val="49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</c:numCache>
            </c:numRef>
          </c:xVal>
          <c:yVal>
            <c:numRef>
              <c:f>'Example (3)'!$D$2:$D$50</c:f>
              <c:numCache>
                <c:formatCode>General</c:formatCode>
                <c:ptCount val="49"/>
                <c:pt idx="0">
                  <c:v>103.167730932667</c:v>
                </c:pt>
                <c:pt idx="1">
                  <c:v>126.21613669833329</c:v>
                </c:pt>
                <c:pt idx="2">
                  <c:v>152.57600056544439</c:v>
                </c:pt>
                <c:pt idx="3">
                  <c:v>171.83859157055548</c:v>
                </c:pt>
                <c:pt idx="4">
                  <c:v>191.89116937166659</c:v>
                </c:pt>
                <c:pt idx="5">
                  <c:v>200.22015784233326</c:v>
                </c:pt>
                <c:pt idx="6">
                  <c:v>213.57625187233327</c:v>
                </c:pt>
                <c:pt idx="7">
                  <c:v>219.48760356111103</c:v>
                </c:pt>
                <c:pt idx="8">
                  <c:v>224.33351943983328</c:v>
                </c:pt>
                <c:pt idx="9">
                  <c:v>231.99470057216661</c:v>
                </c:pt>
                <c:pt idx="10">
                  <c:v>228.37388560994441</c:v>
                </c:pt>
                <c:pt idx="11">
                  <c:v>224.76858516422215</c:v>
                </c:pt>
                <c:pt idx="12">
                  <c:v>213.28486231572219</c:v>
                </c:pt>
                <c:pt idx="13">
                  <c:v>218.07424444833327</c:v>
                </c:pt>
                <c:pt idx="14">
                  <c:v>221.55698469616664</c:v>
                </c:pt>
                <c:pt idx="15">
                  <c:v>269.85705650210224</c:v>
                </c:pt>
                <c:pt idx="16">
                  <c:v>261.16416162745372</c:v>
                </c:pt>
                <c:pt idx="17">
                  <c:v>262.55526160265583</c:v>
                </c:pt>
                <c:pt idx="18">
                  <c:v>248.87220972817695</c:v>
                </c:pt>
                <c:pt idx="19">
                  <c:v>250.76058216698377</c:v>
                </c:pt>
                <c:pt idx="20">
                  <c:v>245.50491536869259</c:v>
                </c:pt>
                <c:pt idx="21">
                  <c:v>252.17942819767157</c:v>
                </c:pt>
                <c:pt idx="22">
                  <c:v>248.46162946550436</c:v>
                </c:pt>
                <c:pt idx="23">
                  <c:v>257.6353826284676</c:v>
                </c:pt>
                <c:pt idx="24">
                  <c:v>257.62330166188144</c:v>
                </c:pt>
                <c:pt idx="25">
                  <c:v>265.9435905208959</c:v>
                </c:pt>
                <c:pt idx="26">
                  <c:v>300.46225028811483</c:v>
                </c:pt>
                <c:pt idx="27">
                  <c:v>296.29050105452285</c:v>
                </c:pt>
                <c:pt idx="28">
                  <c:v>295.71436645728403</c:v>
                </c:pt>
                <c:pt idx="29">
                  <c:v>304.02819831478695</c:v>
                </c:pt>
                <c:pt idx="30">
                  <c:v>311.42324798166226</c:v>
                </c:pt>
                <c:pt idx="31">
                  <c:v>314.93713692082571</c:v>
                </c:pt>
                <c:pt idx="32">
                  <c:v>323.52563318307426</c:v>
                </c:pt>
                <c:pt idx="33">
                  <c:v>326.79678563497009</c:v>
                </c:pt>
                <c:pt idx="34">
                  <c:v>338.06322744085497</c:v>
                </c:pt>
                <c:pt idx="35">
                  <c:v>328.27349474731898</c:v>
                </c:pt>
                <c:pt idx="36">
                  <c:v>320.89620268191902</c:v>
                </c:pt>
                <c:pt idx="37">
                  <c:v>306.89069209614968</c:v>
                </c:pt>
                <c:pt idx="38">
                  <c:v>321.01581875968009</c:v>
                </c:pt>
                <c:pt idx="39">
                  <c:v>304.10600285313342</c:v>
                </c:pt>
                <c:pt idx="40">
                  <c:v>310.68068798357564</c:v>
                </c:pt>
                <c:pt idx="41">
                  <c:v>285.45069309507801</c:v>
                </c:pt>
                <c:pt idx="42">
                  <c:v>288.05023987012714</c:v>
                </c:pt>
                <c:pt idx="43">
                  <c:v>280.63157302665928</c:v>
                </c:pt>
                <c:pt idx="44">
                  <c:v>267.47077828534344</c:v>
                </c:pt>
                <c:pt idx="45">
                  <c:v>261.67906146356228</c:v>
                </c:pt>
                <c:pt idx="46">
                  <c:v>260.50541278185699</c:v>
                </c:pt>
                <c:pt idx="47">
                  <c:v>263.2351360070848</c:v>
                </c:pt>
                <c:pt idx="48">
                  <c:v>250.67048865214244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FE4-44FE-8DA3-64F4835AE826}"/>
            </c:ext>
          </c:extLst>
        </c:ser>
        <c:ser>
          <c:idx val="1"/>
          <c:order val="1"/>
          <c:tx>
            <c:strRef>
              <c:f>'Example (3)'!$Q$1</c:f>
              <c:strCache>
                <c:ptCount val="1"/>
                <c:pt idx="0">
                  <c:v>Qi,M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'Example (3)'!$C$2:$C$82</c:f>
              <c:numCache>
                <c:formatCode>General</c:formatCode>
                <c:ptCount val="81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  <c:pt idx="50">
                  <c:v>2020</c:v>
                </c:pt>
                <c:pt idx="51">
                  <c:v>2021</c:v>
                </c:pt>
                <c:pt idx="52">
                  <c:v>2022</c:v>
                </c:pt>
                <c:pt idx="53">
                  <c:v>2023</c:v>
                </c:pt>
                <c:pt idx="54">
                  <c:v>2024</c:v>
                </c:pt>
                <c:pt idx="55">
                  <c:v>2025</c:v>
                </c:pt>
                <c:pt idx="56">
                  <c:v>2026</c:v>
                </c:pt>
                <c:pt idx="57">
                  <c:v>2027</c:v>
                </c:pt>
                <c:pt idx="58">
                  <c:v>2028</c:v>
                </c:pt>
                <c:pt idx="59">
                  <c:v>2029</c:v>
                </c:pt>
                <c:pt idx="60">
                  <c:v>2030</c:v>
                </c:pt>
                <c:pt idx="61">
                  <c:v>2031</c:v>
                </c:pt>
                <c:pt idx="62">
                  <c:v>2032</c:v>
                </c:pt>
                <c:pt idx="63">
                  <c:v>2033</c:v>
                </c:pt>
                <c:pt idx="64">
                  <c:v>2034</c:v>
                </c:pt>
                <c:pt idx="65">
                  <c:v>2035</c:v>
                </c:pt>
                <c:pt idx="66">
                  <c:v>2036</c:v>
                </c:pt>
                <c:pt idx="67">
                  <c:v>2037</c:v>
                </c:pt>
                <c:pt idx="68">
                  <c:v>2038</c:v>
                </c:pt>
                <c:pt idx="69">
                  <c:v>2039</c:v>
                </c:pt>
                <c:pt idx="70">
                  <c:v>2040</c:v>
                </c:pt>
                <c:pt idx="71">
                  <c:v>2041</c:v>
                </c:pt>
                <c:pt idx="72">
                  <c:v>2042</c:v>
                </c:pt>
                <c:pt idx="73">
                  <c:v>2043</c:v>
                </c:pt>
                <c:pt idx="74">
                  <c:v>2044</c:v>
                </c:pt>
                <c:pt idx="75">
                  <c:v>2045</c:v>
                </c:pt>
                <c:pt idx="76">
                  <c:v>2046</c:v>
                </c:pt>
                <c:pt idx="77">
                  <c:v>2047</c:v>
                </c:pt>
                <c:pt idx="78">
                  <c:v>2048</c:v>
                </c:pt>
                <c:pt idx="79">
                  <c:v>2049</c:v>
                </c:pt>
                <c:pt idx="80">
                  <c:v>2050</c:v>
                </c:pt>
              </c:numCache>
            </c:numRef>
          </c:xVal>
          <c:yVal>
            <c:numRef>
              <c:f>'Example (3)'!$Q$2:$Q$82</c:f>
              <c:numCache>
                <c:formatCode>General</c:formatCode>
                <c:ptCount val="81"/>
                <c:pt idx="0">
                  <c:v>100.92568588446375</c:v>
                </c:pt>
                <c:pt idx="1">
                  <c:v>108.49325303504028</c:v>
                </c:pt>
                <c:pt idx="2">
                  <c:v>116.51604203506885</c:v>
                </c:pt>
                <c:pt idx="3">
                  <c:v>125.00281190528526</c:v>
                </c:pt>
                <c:pt idx="4">
                  <c:v>133.95909894881157</c:v>
                </c:pt>
                <c:pt idx="5">
                  <c:v>143.38658841554502</c:v>
                </c:pt>
                <c:pt idx="6">
                  <c:v>153.28244306568658</c:v>
                </c:pt>
                <c:pt idx="7">
                  <c:v>163.63859815015172</c:v>
                </c:pt>
                <c:pt idx="8">
                  <c:v>174.44103603792502</c:v>
                </c:pt>
                <c:pt idx="9">
                  <c:v>185.66905785633557</c:v>
                </c:pt>
                <c:pt idx="10">
                  <c:v>197.29457395357642</c:v>
                </c:pt>
                <c:pt idx="11">
                  <c:v>209.2814395644078</c:v>
                </c:pt>
                <c:pt idx="12">
                  <c:v>221.58486650999004</c:v>
                </c:pt>
                <c:pt idx="13">
                  <c:v>234.15094576747512</c:v>
                </c:pt>
                <c:pt idx="14">
                  <c:v>246.91631891036343</c:v>
                </c:pt>
                <c:pt idx="15">
                  <c:v>259.80803829530191</c:v>
                </c:pt>
                <c:pt idx="16">
                  <c:v>272.74365597029868</c:v>
                </c:pt>
                <c:pt idx="17">
                  <c:v>285.63157912219339</c:v>
                </c:pt>
                <c:pt idx="18">
                  <c:v>298.37172503974438</c:v>
                </c:pt>
                <c:pt idx="19">
                  <c:v>310.85650072820567</c:v>
                </c:pt>
                <c:pt idx="20">
                  <c:v>322.97212133657689</c:v>
                </c:pt>
                <c:pt idx="21">
                  <c:v>334.60026755910582</c:v>
                </c:pt>
                <c:pt idx="22">
                  <c:v>345.62006555586771</c:v>
                </c:pt>
                <c:pt idx="23">
                  <c:v>355.91035444162225</c:v>
                </c:pt>
                <c:pt idx="24">
                  <c:v>365.35218708482046</c:v>
                </c:pt>
                <c:pt idx="25">
                  <c:v>373.83149119184236</c:v>
                </c:pt>
                <c:pt idx="26">
                  <c:v>381.2418009716946</c:v>
                </c:pt>
                <c:pt idx="27">
                  <c:v>387.48695668888672</c:v>
                </c:pt>
                <c:pt idx="28">
                  <c:v>392.4836616122065</c:v>
                </c:pt>
                <c:pt idx="29">
                  <c:v>396.16378445561747</c:v>
                </c:pt>
                <c:pt idx="30">
                  <c:v>398.47630111716592</c:v>
                </c:pt>
                <c:pt idx="31">
                  <c:v>399.38878248110404</c:v>
                </c:pt>
                <c:pt idx="32">
                  <c:v>398.88835470912733</c:v>
                </c:pt>
                <c:pt idx="33">
                  <c:v>396.9820835926696</c:v>
                </c:pt>
                <c:pt idx="34">
                  <c:v>393.69676338215612</c:v>
                </c:pt>
                <c:pt idx="35">
                  <c:v>389.0781208671732</c:v>
                </c:pt>
                <c:pt idx="36">
                  <c:v>383.18947500530504</c:v>
                </c:pt>
                <c:pt idx="37">
                  <c:v>376.10991882935866</c:v>
                </c:pt>
                <c:pt idx="38">
                  <c:v>367.93211177853755</c:v>
                </c:pt>
                <c:pt idx="39">
                  <c:v>358.75978560223217</c:v>
                </c:pt>
                <c:pt idx="40">
                  <c:v>348.70507482742232</c:v>
                </c:pt>
                <c:pt idx="41">
                  <c:v>337.88578339725137</c:v>
                </c:pt>
                <c:pt idx="42">
                  <c:v>326.42269304709225</c:v>
                </c:pt>
                <c:pt idx="43">
                  <c:v>314.43700736644251</c:v>
                </c:pt>
                <c:pt idx="44">
                  <c:v>302.0480097286561</c:v>
                </c:pt>
                <c:pt idx="45">
                  <c:v>289.3709949476297</c:v>
                </c:pt>
                <c:pt idx="46">
                  <c:v>276.51551522050016</c:v>
                </c:pt>
                <c:pt idx="47">
                  <c:v>263.58396205857798</c:v>
                </c:pt>
                <c:pt idx="48">
                  <c:v>250.6704886521425</c:v>
                </c:pt>
                <c:pt idx="49">
                  <c:v>237.86026229453961</c:v>
                </c:pt>
                <c:pt idx="50">
                  <c:v>225.22902460950894</c:v>
                </c:pt>
                <c:pt idx="51">
                  <c:v>212.8429285744262</c:v>
                </c:pt>
                <c:pt idx="52">
                  <c:v>200.75861564091915</c:v>
                </c:pt>
                <c:pt idx="53">
                  <c:v>189.02349335389391</c:v>
                </c:pt>
                <c:pt idx="54">
                  <c:v>177.67617335894195</c:v>
                </c:pt>
                <c:pt idx="55">
                  <c:v>166.74703109519663</c:v>
                </c:pt>
                <c:pt idx="56">
                  <c:v>156.25885130796703</c:v>
                </c:pt>
                <c:pt idx="57">
                  <c:v>146.22752731873479</c:v>
                </c:pt>
                <c:pt idx="58">
                  <c:v>136.662786346822</c:v>
                </c:pt>
                <c:pt idx="59">
                  <c:v>127.56891774224974</c:v>
                </c:pt>
                <c:pt idx="60">
                  <c:v>118.94548549165603</c:v>
                </c:pt>
                <c:pt idx="61">
                  <c:v>110.78801059944077</c:v>
                </c:pt>
                <c:pt idx="62">
                  <c:v>103.08861279097771</c:v>
                </c:pt>
                <c:pt idx="63">
                  <c:v>95.836604356257354</c:v>
                </c:pt>
                <c:pt idx="64">
                  <c:v>89.019031818438663</c:v>
                </c:pt>
                <c:pt idx="65">
                  <c:v>82.621163474690434</c:v>
                </c:pt>
                <c:pt idx="66">
                  <c:v>76.626922743147617</c:v>
                </c:pt>
                <c:pt idx="67">
                  <c:v>71.019268702525608</c:v>
                </c:pt>
                <c:pt idx="68">
                  <c:v>65.780526281662347</c:v>
                </c:pt>
                <c:pt idx="69">
                  <c:v>60.892669300294884</c:v>
                </c:pt>
                <c:pt idx="70">
                  <c:v>56.337560034635978</c:v>
                </c:pt>
                <c:pt idx="71">
                  <c:v>52.097149233588937</c:v>
                </c:pt>
                <c:pt idx="72">
                  <c:v>48.153640590710928</c:v>
                </c:pt>
                <c:pt idx="73">
                  <c:v>44.489623624588063</c:v>
                </c:pt>
                <c:pt idx="74">
                  <c:v>41.08817877140396</c:v>
                </c:pt>
                <c:pt idx="75">
                  <c:v>37.932958277572929</c:v>
                </c:pt>
                <c:pt idx="76">
                  <c:v>35.008246221283343</c:v>
                </c:pt>
                <c:pt idx="77">
                  <c:v>32.299000708644101</c:v>
                </c:pt>
                <c:pt idx="78">
                  <c:v>29.790880997518503</c:v>
                </c:pt>
                <c:pt idx="79">
                  <c:v>27.470262011082372</c:v>
                </c:pt>
                <c:pt idx="80">
                  <c:v>25.324238421618141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FE4-44FE-8DA3-64F4835AE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073872"/>
        <c:axId val="582259216"/>
      </c:scatterChart>
      <c:valAx>
        <c:axId val="568073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259216"/>
        <c:crosses val="autoZero"/>
        <c:crossBetween val="midCat"/>
      </c:valAx>
      <c:valAx>
        <c:axId val="582259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Quantity []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0738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S-shaped curve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'Example (3)'!$C$2:$C$82</c:f>
              <c:numCache>
                <c:formatCode>General</c:formatCode>
                <c:ptCount val="81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  <c:pt idx="50">
                  <c:v>2020</c:v>
                </c:pt>
                <c:pt idx="51">
                  <c:v>2021</c:v>
                </c:pt>
                <c:pt idx="52">
                  <c:v>2022</c:v>
                </c:pt>
                <c:pt idx="53">
                  <c:v>2023</c:v>
                </c:pt>
                <c:pt idx="54">
                  <c:v>2024</c:v>
                </c:pt>
                <c:pt idx="55">
                  <c:v>2025</c:v>
                </c:pt>
                <c:pt idx="56">
                  <c:v>2026</c:v>
                </c:pt>
                <c:pt idx="57">
                  <c:v>2027</c:v>
                </c:pt>
                <c:pt idx="58">
                  <c:v>2028</c:v>
                </c:pt>
                <c:pt idx="59">
                  <c:v>2029</c:v>
                </c:pt>
                <c:pt idx="60">
                  <c:v>2030</c:v>
                </c:pt>
                <c:pt idx="61">
                  <c:v>2031</c:v>
                </c:pt>
                <c:pt idx="62">
                  <c:v>2032</c:v>
                </c:pt>
                <c:pt idx="63">
                  <c:v>2033</c:v>
                </c:pt>
                <c:pt idx="64">
                  <c:v>2034</c:v>
                </c:pt>
                <c:pt idx="65">
                  <c:v>2035</c:v>
                </c:pt>
                <c:pt idx="66">
                  <c:v>2036</c:v>
                </c:pt>
                <c:pt idx="67">
                  <c:v>2037</c:v>
                </c:pt>
                <c:pt idx="68">
                  <c:v>2038</c:v>
                </c:pt>
                <c:pt idx="69">
                  <c:v>2039</c:v>
                </c:pt>
                <c:pt idx="70">
                  <c:v>2040</c:v>
                </c:pt>
                <c:pt idx="71">
                  <c:v>2041</c:v>
                </c:pt>
                <c:pt idx="72">
                  <c:v>2042</c:v>
                </c:pt>
                <c:pt idx="73">
                  <c:v>2043</c:v>
                </c:pt>
                <c:pt idx="74">
                  <c:v>2044</c:v>
                </c:pt>
                <c:pt idx="75">
                  <c:v>2045</c:v>
                </c:pt>
                <c:pt idx="76">
                  <c:v>2046</c:v>
                </c:pt>
                <c:pt idx="77">
                  <c:v>2047</c:v>
                </c:pt>
                <c:pt idx="78">
                  <c:v>2048</c:v>
                </c:pt>
                <c:pt idx="79">
                  <c:v>2049</c:v>
                </c:pt>
                <c:pt idx="80">
                  <c:v>2050</c:v>
                </c:pt>
              </c:numCache>
            </c:numRef>
          </c:xVal>
          <c:yVal>
            <c:numRef>
              <c:f>'Example (3)'!$R$2:$R$82</c:f>
              <c:numCache>
                <c:formatCode>General</c:formatCode>
                <c:ptCount val="81"/>
                <c:pt idx="0">
                  <c:v>1286.2375374167825</c:v>
                </c:pt>
                <c:pt idx="1">
                  <c:v>1390.9095106365373</c:v>
                </c:pt>
                <c:pt idx="2">
                  <c:v>1503.3758134081138</c:v>
                </c:pt>
                <c:pt idx="3">
                  <c:v>1624.0962907388255</c:v>
                </c:pt>
                <c:pt idx="4">
                  <c:v>1753.5379856749341</c:v>
                </c:pt>
                <c:pt idx="5">
                  <c:v>1892.1716063155595</c:v>
                </c:pt>
                <c:pt idx="6">
                  <c:v>2040.4673422894989</c:v>
                </c:pt>
                <c:pt idx="7">
                  <c:v>2198.8899920633148</c:v>
                </c:pt>
                <c:pt idx="8">
                  <c:v>2367.8933737842185</c:v>
                </c:pt>
                <c:pt idx="9">
                  <c:v>2547.9140076280237</c:v>
                </c:pt>
                <c:pt idx="10">
                  <c:v>2739.3640771908417</c:v>
                </c:pt>
                <c:pt idx="11">
                  <c:v>2942.6237015569636</c:v>
                </c:pt>
                <c:pt idx="12">
                  <c:v>3158.0325783038061</c:v>
                </c:pt>
                <c:pt idx="13">
                  <c:v>3385.8810905905789</c:v>
                </c:pt>
                <c:pt idx="14">
                  <c:v>3626.4010079837094</c:v>
                </c:pt>
                <c:pt idx="15">
                  <c:v>3879.7559497378429</c:v>
                </c:pt>
                <c:pt idx="16">
                  <c:v>4146.031819345003</c:v>
                </c:pt>
                <c:pt idx="17">
                  <c:v>4425.2274582679374</c:v>
                </c:pt>
                <c:pt idx="18">
                  <c:v>4717.2458024098878</c:v>
                </c:pt>
                <c:pt idx="19">
                  <c:v>5021.8858541879072</c:v>
                </c:pt>
                <c:pt idx="20">
                  <c:v>5338.8358029861683</c:v>
                </c:pt>
                <c:pt idx="21">
                  <c:v>5667.6676341671719</c:v>
                </c:pt>
                <c:pt idx="22">
                  <c:v>6007.8335588643222</c:v>
                </c:pt>
                <c:pt idx="23">
                  <c:v>6358.6645711934334</c:v>
                </c:pt>
                <c:pt idx="24">
                  <c:v>6719.3713949312296</c:v>
                </c:pt>
                <c:pt idx="25">
                  <c:v>7089.0480179601345</c:v>
                </c:pt>
                <c:pt idx="26">
                  <c:v>7466.6779311724813</c:v>
                </c:pt>
                <c:pt idx="27">
                  <c:v>7851.143091955897</c:v>
                </c:pt>
                <c:pt idx="28">
                  <c:v>8241.2355253009173</c:v>
                </c:pt>
                <c:pt idx="29">
                  <c:v>8635.6713638027068</c:v>
                </c:pt>
                <c:pt idx="30">
                  <c:v>9033.1070181709783</c:v>
                </c:pt>
                <c:pt idx="31">
                  <c:v>9432.1570695558894</c:v>
                </c:pt>
                <c:pt idx="32">
                  <c:v>9831.4133910758028</c:v>
                </c:pt>
                <c:pt idx="33">
                  <c:v>10229.464944541338</c:v>
                </c:pt>
                <c:pt idx="34">
                  <c:v>10624.917664142638</c:v>
                </c:pt>
                <c:pt idx="35">
                  <c:v>11016.41383443266</c:v>
                </c:pt>
                <c:pt idx="36">
                  <c:v>11402.650395642138</c:v>
                </c:pt>
                <c:pt idx="37">
                  <c:v>11782.395663220264</c:v>
                </c:pt>
                <c:pt idx="38">
                  <c:v>12154.504026418068</c:v>
                </c:pt>
                <c:pt idx="39">
                  <c:v>12517.928286954817</c:v>
                </c:pt>
                <c:pt idx="40">
                  <c:v>12871.729406487133</c:v>
                </c:pt>
                <c:pt idx="41">
                  <c:v>13215.083543487361</c:v>
                </c:pt>
                <c:pt idx="42">
                  <c:v>13547.286369241037</c:v>
                </c:pt>
                <c:pt idx="43">
                  <c:v>13867.754752839821</c:v>
                </c:pt>
                <c:pt idx="44">
                  <c:v>14176.025991391793</c:v>
                </c:pt>
                <c:pt idx="45">
                  <c:v>14471.75483083753</c:v>
                </c:pt>
                <c:pt idx="46">
                  <c:v>14754.708572988193</c:v>
                </c:pt>
                <c:pt idx="47">
                  <c:v>15024.760595442838</c:v>
                </c:pt>
                <c:pt idx="48">
                  <c:v>15281.882623942731</c:v>
                </c:pt>
                <c:pt idx="49">
                  <c:v>15526.136093527004</c:v>
                </c:pt>
                <c:pt idx="50">
                  <c:v>15757.662918281345</c:v>
                </c:pt>
                <c:pt idx="51">
                  <c:v>15976.675962578254</c:v>
                </c:pt>
                <c:pt idx="52">
                  <c:v>16183.449472608203</c:v>
                </c:pt>
                <c:pt idx="53">
                  <c:v>16378.309688634834</c:v>
                </c:pt>
                <c:pt idx="54">
                  <c:v>16561.625818372817</c:v>
                </c:pt>
                <c:pt idx="55">
                  <c:v>16733.801512341044</c:v>
                </c:pt>
                <c:pt idx="56">
                  <c:v>16895.266944660285</c:v>
                </c:pt>
                <c:pt idx="57">
                  <c:v>17046.471568738154</c:v>
                </c:pt>
                <c:pt idx="58">
                  <c:v>17187.877587369298</c:v>
                </c:pt>
                <c:pt idx="59">
                  <c:v>17319.954151350983</c:v>
                </c:pt>
                <c:pt idx="60">
                  <c:v>17443.172279839324</c:v>
                </c:pt>
                <c:pt idx="61">
                  <c:v>17558.000479181857</c:v>
                </c:pt>
                <c:pt idx="62">
                  <c:v>17664.90102452369</c:v>
                </c:pt>
                <c:pt idx="63">
                  <c:v>17764.326859658271</c:v>
                </c:pt>
                <c:pt idx="64">
                  <c:v>17856.719064887926</c:v>
                </c:pt>
                <c:pt idx="65">
                  <c:v>17942.504839566205</c:v>
                </c:pt>
                <c:pt idx="66">
                  <c:v>18022.095945022844</c:v>
                </c:pt>
                <c:pt idx="67">
                  <c:v>18095.887554266457</c:v>
                </c:pt>
                <c:pt idx="68">
                  <c:v>18164.257456811469</c:v>
                </c:pt>
                <c:pt idx="69">
                  <c:v>18227.565569829989</c:v>
                </c:pt>
                <c:pt idx="70">
                  <c:v>18286.153710287261</c:v>
                </c:pt>
                <c:pt idx="71">
                  <c:v>18340.345586535215</c:v>
                </c:pt>
                <c:pt idx="72">
                  <c:v>18390.446971816837</c:v>
                </c:pt>
                <c:pt idx="73">
                  <c:v>18436.746026122291</c:v>
                </c:pt>
                <c:pt idx="74">
                  <c:v>18479.513736722663</c:v>
                </c:pt>
                <c:pt idx="75">
                  <c:v>18519.004451407676</c:v>
                </c:pt>
                <c:pt idx="76">
                  <c:v>18555.456481914578</c:v>
                </c:pt>
                <c:pt idx="77">
                  <c:v>18589.092758224262</c:v>
                </c:pt>
                <c:pt idx="78">
                  <c:v>18620.121517300129</c:v>
                </c:pt>
                <c:pt idx="79">
                  <c:v>18648.737012452435</c:v>
                </c:pt>
                <c:pt idx="80">
                  <c:v>18675.120231830966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7F2-49A2-BBA1-FE7C33FCB9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8088504"/>
        <c:axId val="588086584"/>
      </c:scatterChart>
      <c:valAx>
        <c:axId val="588088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8086584"/>
        <c:crosses val="autoZero"/>
        <c:crossBetween val="midCat"/>
      </c:valAx>
      <c:valAx>
        <c:axId val="588086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8088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'Example (4)'!$D$1</c:f>
              <c:strCache>
                <c:ptCount val="1"/>
                <c:pt idx="0">
                  <c:v>Qi,D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'Example (4)'!$C$2:$C$50</c:f>
              <c:numCache>
                <c:formatCode>General</c:formatCode>
                <c:ptCount val="49"/>
                <c:pt idx="0">
                  <c:v>1988</c:v>
                </c:pt>
                <c:pt idx="1">
                  <c:v>1989</c:v>
                </c:pt>
                <c:pt idx="2">
                  <c:v>1990</c:v>
                </c:pt>
                <c:pt idx="3">
                  <c:v>1991</c:v>
                </c:pt>
                <c:pt idx="4">
                  <c:v>1992</c:v>
                </c:pt>
                <c:pt idx="5">
                  <c:v>1993</c:v>
                </c:pt>
                <c:pt idx="6">
                  <c:v>1994</c:v>
                </c:pt>
                <c:pt idx="7">
                  <c:v>1995</c:v>
                </c:pt>
                <c:pt idx="8">
                  <c:v>1996</c:v>
                </c:pt>
                <c:pt idx="9">
                  <c:v>1997</c:v>
                </c:pt>
                <c:pt idx="10">
                  <c:v>1998</c:v>
                </c:pt>
                <c:pt idx="11">
                  <c:v>1999</c:v>
                </c:pt>
                <c:pt idx="12">
                  <c:v>2000</c:v>
                </c:pt>
                <c:pt idx="13">
                  <c:v>2001</c:v>
                </c:pt>
                <c:pt idx="14">
                  <c:v>2002</c:v>
                </c:pt>
                <c:pt idx="15">
                  <c:v>2003</c:v>
                </c:pt>
                <c:pt idx="16">
                  <c:v>2004</c:v>
                </c:pt>
                <c:pt idx="17">
                  <c:v>2005</c:v>
                </c:pt>
                <c:pt idx="18">
                  <c:v>2006</c:v>
                </c:pt>
                <c:pt idx="19">
                  <c:v>2007</c:v>
                </c:pt>
                <c:pt idx="20">
                  <c:v>2008</c:v>
                </c:pt>
                <c:pt idx="21">
                  <c:v>2009</c:v>
                </c:pt>
                <c:pt idx="22">
                  <c:v>2010</c:v>
                </c:pt>
                <c:pt idx="23">
                  <c:v>2011</c:v>
                </c:pt>
                <c:pt idx="24">
                  <c:v>2012</c:v>
                </c:pt>
                <c:pt idx="25">
                  <c:v>2013</c:v>
                </c:pt>
                <c:pt idx="26">
                  <c:v>2014</c:v>
                </c:pt>
                <c:pt idx="27">
                  <c:v>2015</c:v>
                </c:pt>
                <c:pt idx="28">
                  <c:v>2016</c:v>
                </c:pt>
                <c:pt idx="29">
                  <c:v>2017</c:v>
                </c:pt>
                <c:pt idx="30">
                  <c:v>2018</c:v>
                </c:pt>
                <c:pt idx="31">
                  <c:v>2019</c:v>
                </c:pt>
                <c:pt idx="32">
                  <c:v>2020</c:v>
                </c:pt>
                <c:pt idx="33">
                  <c:v>2021</c:v>
                </c:pt>
                <c:pt idx="34">
                  <c:v>2022</c:v>
                </c:pt>
                <c:pt idx="35">
                  <c:v>2023</c:v>
                </c:pt>
                <c:pt idx="36">
                  <c:v>2024</c:v>
                </c:pt>
                <c:pt idx="37">
                  <c:v>2025</c:v>
                </c:pt>
                <c:pt idx="38">
                  <c:v>2026</c:v>
                </c:pt>
                <c:pt idx="39">
                  <c:v>2027</c:v>
                </c:pt>
                <c:pt idx="40">
                  <c:v>2028</c:v>
                </c:pt>
                <c:pt idx="41">
                  <c:v>2029</c:v>
                </c:pt>
                <c:pt idx="42">
                  <c:v>2030</c:v>
                </c:pt>
                <c:pt idx="43">
                  <c:v>2031</c:v>
                </c:pt>
                <c:pt idx="44">
                  <c:v>2032</c:v>
                </c:pt>
                <c:pt idx="45">
                  <c:v>2033</c:v>
                </c:pt>
                <c:pt idx="46">
                  <c:v>2034</c:v>
                </c:pt>
                <c:pt idx="47">
                  <c:v>2035</c:v>
                </c:pt>
                <c:pt idx="48">
                  <c:v>2036</c:v>
                </c:pt>
              </c:numCache>
            </c:numRef>
          </c:xVal>
          <c:yVal>
            <c:numRef>
              <c:f>'Example (4)'!$D$2:$D$50</c:f>
              <c:numCache>
                <c:formatCode>General</c:formatCode>
                <c:ptCount val="49"/>
                <c:pt idx="0">
                  <c:v>658</c:v>
                </c:pt>
                <c:pt idx="1">
                  <c:v>714</c:v>
                </c:pt>
                <c:pt idx="2">
                  <c:v>653</c:v>
                </c:pt>
                <c:pt idx="3">
                  <c:v>631</c:v>
                </c:pt>
                <c:pt idx="4">
                  <c:v>631</c:v>
                </c:pt>
                <c:pt idx="5">
                  <c:v>1371</c:v>
                </c:pt>
                <c:pt idx="6">
                  <c:v>853</c:v>
                </c:pt>
                <c:pt idx="7">
                  <c:v>1081</c:v>
                </c:pt>
                <c:pt idx="8">
                  <c:v>1190</c:v>
                </c:pt>
                <c:pt idx="9">
                  <c:v>1361</c:v>
                </c:pt>
                <c:pt idx="10">
                  <c:v>1485</c:v>
                </c:pt>
                <c:pt idx="11">
                  <c:v>1500</c:v>
                </c:pt>
                <c:pt idx="12">
                  <c:v>1350</c:v>
                </c:pt>
                <c:pt idx="13">
                  <c:v>1520</c:v>
                </c:pt>
                <c:pt idx="14">
                  <c:v>1673</c:v>
                </c:pt>
                <c:pt idx="15">
                  <c:v>1775</c:v>
                </c:pt>
                <c:pt idx="16">
                  <c:v>1692</c:v>
                </c:pt>
                <c:pt idx="17">
                  <c:v>2314</c:v>
                </c:pt>
                <c:pt idx="18">
                  <c:v>1801</c:v>
                </c:pt>
                <c:pt idx="19">
                  <c:v>1952</c:v>
                </c:pt>
                <c:pt idx="20">
                  <c:v>1853</c:v>
                </c:pt>
                <c:pt idx="21">
                  <c:v>1905</c:v>
                </c:pt>
                <c:pt idx="22">
                  <c:v>1253</c:v>
                </c:pt>
                <c:pt idx="23">
                  <c:v>1426</c:v>
                </c:pt>
                <c:pt idx="24">
                  <c:v>1350</c:v>
                </c:pt>
                <c:pt idx="25">
                  <c:v>1439</c:v>
                </c:pt>
                <c:pt idx="26">
                  <c:v>1499</c:v>
                </c:pt>
                <c:pt idx="27">
                  <c:v>1653</c:v>
                </c:pt>
                <c:pt idx="28">
                  <c:v>1446</c:v>
                </c:pt>
                <c:pt idx="29">
                  <c:v>1364</c:v>
                </c:pt>
                <c:pt idx="30">
                  <c:v>1469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5EC-41AE-8FF7-ED684DB3EBF8}"/>
            </c:ext>
          </c:extLst>
        </c:ser>
        <c:ser>
          <c:idx val="1"/>
          <c:order val="1"/>
          <c:tx>
            <c:strRef>
              <c:f>'Example (4)'!$Q$1</c:f>
              <c:strCache>
                <c:ptCount val="1"/>
                <c:pt idx="0">
                  <c:v>Qi,M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'Example (4)'!$C$2:$C$82</c:f>
              <c:numCache>
                <c:formatCode>General</c:formatCode>
                <c:ptCount val="81"/>
                <c:pt idx="0">
                  <c:v>1988</c:v>
                </c:pt>
                <c:pt idx="1">
                  <c:v>1989</c:v>
                </c:pt>
                <c:pt idx="2">
                  <c:v>1990</c:v>
                </c:pt>
                <c:pt idx="3">
                  <c:v>1991</c:v>
                </c:pt>
                <c:pt idx="4">
                  <c:v>1992</c:v>
                </c:pt>
                <c:pt idx="5">
                  <c:v>1993</c:v>
                </c:pt>
                <c:pt idx="6">
                  <c:v>1994</c:v>
                </c:pt>
                <c:pt idx="7">
                  <c:v>1995</c:v>
                </c:pt>
                <c:pt idx="8">
                  <c:v>1996</c:v>
                </c:pt>
                <c:pt idx="9">
                  <c:v>1997</c:v>
                </c:pt>
                <c:pt idx="10">
                  <c:v>1998</c:v>
                </c:pt>
                <c:pt idx="11">
                  <c:v>1999</c:v>
                </c:pt>
                <c:pt idx="12">
                  <c:v>2000</c:v>
                </c:pt>
                <c:pt idx="13">
                  <c:v>2001</c:v>
                </c:pt>
                <c:pt idx="14">
                  <c:v>2002</c:v>
                </c:pt>
                <c:pt idx="15">
                  <c:v>2003</c:v>
                </c:pt>
                <c:pt idx="16">
                  <c:v>2004</c:v>
                </c:pt>
                <c:pt idx="17">
                  <c:v>2005</c:v>
                </c:pt>
                <c:pt idx="18">
                  <c:v>2006</c:v>
                </c:pt>
                <c:pt idx="19">
                  <c:v>2007</c:v>
                </c:pt>
                <c:pt idx="20">
                  <c:v>2008</c:v>
                </c:pt>
                <c:pt idx="21">
                  <c:v>2009</c:v>
                </c:pt>
                <c:pt idx="22">
                  <c:v>2010</c:v>
                </c:pt>
                <c:pt idx="23">
                  <c:v>2011</c:v>
                </c:pt>
                <c:pt idx="24">
                  <c:v>2012</c:v>
                </c:pt>
                <c:pt idx="25">
                  <c:v>2013</c:v>
                </c:pt>
                <c:pt idx="26">
                  <c:v>2014</c:v>
                </c:pt>
                <c:pt idx="27">
                  <c:v>2015</c:v>
                </c:pt>
                <c:pt idx="28">
                  <c:v>2016</c:v>
                </c:pt>
                <c:pt idx="29">
                  <c:v>2017</c:v>
                </c:pt>
                <c:pt idx="30">
                  <c:v>2018</c:v>
                </c:pt>
                <c:pt idx="31">
                  <c:v>2019</c:v>
                </c:pt>
                <c:pt idx="32">
                  <c:v>2020</c:v>
                </c:pt>
                <c:pt idx="33">
                  <c:v>2021</c:v>
                </c:pt>
                <c:pt idx="34">
                  <c:v>2022</c:v>
                </c:pt>
                <c:pt idx="35">
                  <c:v>2023</c:v>
                </c:pt>
                <c:pt idx="36">
                  <c:v>2024</c:v>
                </c:pt>
                <c:pt idx="37">
                  <c:v>2025</c:v>
                </c:pt>
                <c:pt idx="38">
                  <c:v>2026</c:v>
                </c:pt>
                <c:pt idx="39">
                  <c:v>2027</c:v>
                </c:pt>
                <c:pt idx="40">
                  <c:v>2028</c:v>
                </c:pt>
                <c:pt idx="41">
                  <c:v>2029</c:v>
                </c:pt>
                <c:pt idx="42">
                  <c:v>2030</c:v>
                </c:pt>
                <c:pt idx="43">
                  <c:v>2031</c:v>
                </c:pt>
                <c:pt idx="44">
                  <c:v>2032</c:v>
                </c:pt>
                <c:pt idx="45">
                  <c:v>2033</c:v>
                </c:pt>
                <c:pt idx="46">
                  <c:v>2034</c:v>
                </c:pt>
                <c:pt idx="47">
                  <c:v>2035</c:v>
                </c:pt>
                <c:pt idx="48">
                  <c:v>2036</c:v>
                </c:pt>
                <c:pt idx="49">
                  <c:v>2037</c:v>
                </c:pt>
                <c:pt idx="50">
                  <c:v>2038</c:v>
                </c:pt>
                <c:pt idx="51">
                  <c:v>2039</c:v>
                </c:pt>
                <c:pt idx="52">
                  <c:v>2040</c:v>
                </c:pt>
                <c:pt idx="53">
                  <c:v>2041</c:v>
                </c:pt>
                <c:pt idx="54">
                  <c:v>2042</c:v>
                </c:pt>
                <c:pt idx="55">
                  <c:v>2043</c:v>
                </c:pt>
                <c:pt idx="56">
                  <c:v>2044</c:v>
                </c:pt>
                <c:pt idx="57">
                  <c:v>2045</c:v>
                </c:pt>
                <c:pt idx="58">
                  <c:v>2046</c:v>
                </c:pt>
                <c:pt idx="59">
                  <c:v>2047</c:v>
                </c:pt>
                <c:pt idx="60">
                  <c:v>2048</c:v>
                </c:pt>
                <c:pt idx="61">
                  <c:v>2049</c:v>
                </c:pt>
                <c:pt idx="62">
                  <c:v>2050</c:v>
                </c:pt>
              </c:numCache>
            </c:numRef>
          </c:xVal>
          <c:yVal>
            <c:numRef>
              <c:f>'Example (4)'!$Q$2:$Q$82</c:f>
              <c:numCache>
                <c:formatCode>General</c:formatCode>
                <c:ptCount val="81"/>
                <c:pt idx="0">
                  <c:v>672.46214097250106</c:v>
                </c:pt>
                <c:pt idx="1">
                  <c:v>719.97617477486472</c:v>
                </c:pt>
                <c:pt idx="2">
                  <c:v>769.47740638541984</c:v>
                </c:pt>
                <c:pt idx="3">
                  <c:v>820.82011575689137</c:v>
                </c:pt>
                <c:pt idx="4">
                  <c:v>873.81484711230348</c:v>
                </c:pt>
                <c:pt idx="5">
                  <c:v>928.22514390984702</c:v>
                </c:pt>
                <c:pt idx="6">
                  <c:v>983.76501549420709</c:v>
                </c:pt>
                <c:pt idx="7">
                  <c:v>1040.0973884726443</c:v>
                </c:pt>
                <c:pt idx="8">
                  <c:v>1096.8338055436352</c:v>
                </c:pt>
                <c:pt idx="9">
                  <c:v>1153.5356296828338</c:v>
                </c:pt>
                <c:pt idx="10">
                  <c:v>1209.7169885266787</c:v>
                </c:pt>
                <c:pt idx="11">
                  <c:v>1264.8496494159033</c:v>
                </c:pt>
                <c:pt idx="12">
                  <c:v>1318.3699480320422</c:v>
                </c:pt>
                <c:pt idx="13">
                  <c:v>1369.6878028828387</c:v>
                </c:pt>
                <c:pt idx="14">
                  <c:v>1418.1977364547347</c:v>
                </c:pt>
                <c:pt idx="15">
                  <c:v>1463.2916967946326</c:v>
                </c:pt>
                <c:pt idx="16">
                  <c:v>1504.3733385848061</c:v>
                </c:pt>
                <c:pt idx="17">
                  <c:v>1540.8732909285673</c:v>
                </c:pt>
                <c:pt idx="18">
                  <c:v>1572.2648223168896</c:v>
                </c:pt>
                <c:pt idx="19">
                  <c:v>1598.0792243942662</c:v>
                </c:pt>
                <c:pt idx="20">
                  <c:v>1617.9201869969443</c:v>
                </c:pt>
                <c:pt idx="21">
                  <c:v>1631.4764366518448</c:v>
                </c:pt>
                <c:pt idx="22">
                  <c:v>1638.5319642479058</c:v>
                </c:pt>
                <c:pt idx="23">
                  <c:v>1638.9732745313679</c:v>
                </c:pt>
                <c:pt idx="24">
                  <c:v>1632.7932442304802</c:v>
                </c:pt>
                <c:pt idx="25">
                  <c:v>1620.0913653208024</c:v>
                </c:pt>
                <c:pt idx="26">
                  <c:v>1601.0703592576465</c:v>
                </c:pt>
                <c:pt idx="27">
                  <c:v>1576.0293585698787</c:v>
                </c:pt>
                <c:pt idx="28">
                  <c:v>1545.3540455164198</c:v>
                </c:pt>
                <c:pt idx="29">
                  <c:v>1509.5042971704718</c:v>
                </c:pt>
                <c:pt idx="30">
                  <c:v>1469</c:v>
                </c:pt>
                <c:pt idx="31">
                  <c:v>1424.4057577889375</c:v>
                </c:pt>
                <c:pt idx="32">
                  <c:v>1376.315223437603</c:v>
                </c:pt>
                <c:pt idx="33">
                  <c:v>1325.3357420838117</c:v>
                </c:pt>
                <c:pt idx="34">
                  <c:v>1272.0739087753871</c:v>
                </c:pt>
                <c:pt idx="35">
                  <c:v>1217.1225301546383</c:v>
                </c:pt>
                <c:pt idx="36">
                  <c:v>1161.0493490453318</c:v>
                </c:pt>
                <c:pt idx="37">
                  <c:v>1104.3877558606569</c:v>
                </c:pt>
                <c:pt idx="38">
                  <c:v>1047.6295821583954</c:v>
                </c:pt>
                <c:pt idx="39">
                  <c:v>991.21995779546853</c:v>
                </c:pt>
                <c:pt idx="40">
                  <c:v>935.5541195006366</c:v>
                </c:pt>
                <c:pt idx="41">
                  <c:v>880.97598802896312</c:v>
                </c:pt>
                <c:pt idx="42">
                  <c:v>827.77828367628501</c:v>
                </c:pt>
                <c:pt idx="43">
                  <c:v>776.20392418896893</c:v>
                </c:pt>
                <c:pt idx="44">
                  <c:v>726.44844206110827</c:v>
                </c:pt>
                <c:pt idx="45">
                  <c:v>678.66316619578947</c:v>
                </c:pt>
                <c:pt idx="46">
                  <c:v>632.95893202244815</c:v>
                </c:pt>
                <c:pt idx="47">
                  <c:v>589.41011067640272</c:v>
                </c:pt>
                <c:pt idx="48">
                  <c:v>548.05877845577015</c:v>
                </c:pt>
                <c:pt idx="49">
                  <c:v>508.91887974798817</c:v>
                </c:pt>
                <c:pt idx="50">
                  <c:v>471.98026786457558</c:v>
                </c:pt>
                <c:pt idx="51">
                  <c:v>437.21253724929835</c:v>
                </c:pt>
                <c:pt idx="52">
                  <c:v>404.56858638589489</c:v>
                </c:pt>
                <c:pt idx="53">
                  <c:v>373.98787293370998</c:v>
                </c:pt>
                <c:pt idx="54">
                  <c:v>345.39934102281188</c:v>
                </c:pt>
                <c:pt idx="55">
                  <c:v>318.72401536143184</c:v>
                </c:pt>
                <c:pt idx="56">
                  <c:v>293.87726813679353</c:v>
                </c:pt>
                <c:pt idx="57">
                  <c:v>270.77077301591237</c:v>
                </c:pt>
                <c:pt idx="58">
                  <c:v>249.31416631218454</c:v>
                </c:pt>
                <c:pt idx="59">
                  <c:v>229.41643901865109</c:v>
                </c:pt>
                <c:pt idx="60">
                  <c:v>210.98708533977469</c:v>
                </c:pt>
                <c:pt idx="61">
                  <c:v>193.93703396124479</c:v>
                </c:pt>
                <c:pt idx="62">
                  <c:v>178.17938791437277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5EC-41AE-8FF7-ED684DB3EB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073872"/>
        <c:axId val="582259216"/>
      </c:scatterChart>
      <c:valAx>
        <c:axId val="568073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259216"/>
        <c:crosses val="autoZero"/>
        <c:crossBetween val="midCat"/>
      </c:valAx>
      <c:valAx>
        <c:axId val="582259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Quantity []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0738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S-shaped curve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'Example (4)'!$C$2:$C$82</c:f>
              <c:numCache>
                <c:formatCode>General</c:formatCode>
                <c:ptCount val="81"/>
                <c:pt idx="0">
                  <c:v>1988</c:v>
                </c:pt>
                <c:pt idx="1">
                  <c:v>1989</c:v>
                </c:pt>
                <c:pt idx="2">
                  <c:v>1990</c:v>
                </c:pt>
                <c:pt idx="3">
                  <c:v>1991</c:v>
                </c:pt>
                <c:pt idx="4">
                  <c:v>1992</c:v>
                </c:pt>
                <c:pt idx="5">
                  <c:v>1993</c:v>
                </c:pt>
                <c:pt idx="6">
                  <c:v>1994</c:v>
                </c:pt>
                <c:pt idx="7">
                  <c:v>1995</c:v>
                </c:pt>
                <c:pt idx="8">
                  <c:v>1996</c:v>
                </c:pt>
                <c:pt idx="9">
                  <c:v>1997</c:v>
                </c:pt>
                <c:pt idx="10">
                  <c:v>1998</c:v>
                </c:pt>
                <c:pt idx="11">
                  <c:v>1999</c:v>
                </c:pt>
                <c:pt idx="12">
                  <c:v>2000</c:v>
                </c:pt>
                <c:pt idx="13">
                  <c:v>2001</c:v>
                </c:pt>
                <c:pt idx="14">
                  <c:v>2002</c:v>
                </c:pt>
                <c:pt idx="15">
                  <c:v>2003</c:v>
                </c:pt>
                <c:pt idx="16">
                  <c:v>2004</c:v>
                </c:pt>
                <c:pt idx="17">
                  <c:v>2005</c:v>
                </c:pt>
                <c:pt idx="18">
                  <c:v>2006</c:v>
                </c:pt>
                <c:pt idx="19">
                  <c:v>2007</c:v>
                </c:pt>
                <c:pt idx="20">
                  <c:v>2008</c:v>
                </c:pt>
                <c:pt idx="21">
                  <c:v>2009</c:v>
                </c:pt>
                <c:pt idx="22">
                  <c:v>2010</c:v>
                </c:pt>
                <c:pt idx="23">
                  <c:v>2011</c:v>
                </c:pt>
                <c:pt idx="24">
                  <c:v>2012</c:v>
                </c:pt>
                <c:pt idx="25">
                  <c:v>2013</c:v>
                </c:pt>
                <c:pt idx="26">
                  <c:v>2014</c:v>
                </c:pt>
                <c:pt idx="27">
                  <c:v>2015</c:v>
                </c:pt>
                <c:pt idx="28">
                  <c:v>2016</c:v>
                </c:pt>
                <c:pt idx="29">
                  <c:v>2017</c:v>
                </c:pt>
                <c:pt idx="30">
                  <c:v>2018</c:v>
                </c:pt>
                <c:pt idx="31">
                  <c:v>2019</c:v>
                </c:pt>
                <c:pt idx="32">
                  <c:v>2020</c:v>
                </c:pt>
                <c:pt idx="33">
                  <c:v>2021</c:v>
                </c:pt>
                <c:pt idx="34">
                  <c:v>2022</c:v>
                </c:pt>
                <c:pt idx="35">
                  <c:v>2023</c:v>
                </c:pt>
                <c:pt idx="36">
                  <c:v>2024</c:v>
                </c:pt>
                <c:pt idx="37">
                  <c:v>2025</c:v>
                </c:pt>
                <c:pt idx="38">
                  <c:v>2026</c:v>
                </c:pt>
                <c:pt idx="39">
                  <c:v>2027</c:v>
                </c:pt>
                <c:pt idx="40">
                  <c:v>2028</c:v>
                </c:pt>
                <c:pt idx="41">
                  <c:v>2029</c:v>
                </c:pt>
                <c:pt idx="42">
                  <c:v>2030</c:v>
                </c:pt>
                <c:pt idx="43">
                  <c:v>2031</c:v>
                </c:pt>
                <c:pt idx="44">
                  <c:v>2032</c:v>
                </c:pt>
                <c:pt idx="45">
                  <c:v>2033</c:v>
                </c:pt>
                <c:pt idx="46">
                  <c:v>2034</c:v>
                </c:pt>
                <c:pt idx="47">
                  <c:v>2035</c:v>
                </c:pt>
                <c:pt idx="48">
                  <c:v>2036</c:v>
                </c:pt>
                <c:pt idx="49">
                  <c:v>2037</c:v>
                </c:pt>
                <c:pt idx="50">
                  <c:v>2038</c:v>
                </c:pt>
                <c:pt idx="51">
                  <c:v>2039</c:v>
                </c:pt>
                <c:pt idx="52">
                  <c:v>2040</c:v>
                </c:pt>
                <c:pt idx="53">
                  <c:v>2041</c:v>
                </c:pt>
                <c:pt idx="54">
                  <c:v>2042</c:v>
                </c:pt>
                <c:pt idx="55">
                  <c:v>2043</c:v>
                </c:pt>
                <c:pt idx="56">
                  <c:v>2044</c:v>
                </c:pt>
                <c:pt idx="57">
                  <c:v>2045</c:v>
                </c:pt>
                <c:pt idx="58">
                  <c:v>2046</c:v>
                </c:pt>
                <c:pt idx="59">
                  <c:v>2047</c:v>
                </c:pt>
                <c:pt idx="60">
                  <c:v>2048</c:v>
                </c:pt>
                <c:pt idx="61">
                  <c:v>2049</c:v>
                </c:pt>
                <c:pt idx="62">
                  <c:v>2050</c:v>
                </c:pt>
              </c:numCache>
            </c:numRef>
          </c:xVal>
          <c:yVal>
            <c:numRef>
              <c:f>'Example (4)'!$R$2:$R$82</c:f>
              <c:numCache>
                <c:formatCode>General</c:formatCode>
                <c:ptCount val="81"/>
                <c:pt idx="0">
                  <c:v>8452.1480158056911</c:v>
                </c:pt>
                <c:pt idx="1">
                  <c:v>9148.1965873684676</c:v>
                </c:pt>
                <c:pt idx="2">
                  <c:v>9892.7632091370579</c:v>
                </c:pt>
                <c:pt idx="3">
                  <c:v>10687.765712666522</c:v>
                </c:pt>
                <c:pt idx="4">
                  <c:v>11534.954637839801</c:v>
                </c:pt>
                <c:pt idx="5">
                  <c:v>12435.867813717983</c:v>
                </c:pt>
                <c:pt idx="6">
                  <c:v>13391.782019825314</c:v>
                </c:pt>
                <c:pt idx="7">
                  <c:v>14403.662584765858</c:v>
                </c:pt>
                <c:pt idx="8">
                  <c:v>15472.112037998046</c:v>
                </c:pt>
                <c:pt idx="9">
                  <c:v>16597.31919228044</c:v>
                </c:pt>
                <c:pt idx="10">
                  <c:v>17779.010282336752</c:v>
                </c:pt>
                <c:pt idx="11">
                  <c:v>19016.403999815866</c:v>
                </c:pt>
                <c:pt idx="12">
                  <c:v>20308.172423282052</c:v>
                </c:pt>
                <c:pt idx="13">
                  <c:v>21652.409921434286</c:v>
                </c:pt>
                <c:pt idx="14">
                  <c:v>23046.612085850709</c:v>
                </c:pt>
                <c:pt idx="15">
                  <c:v>24487.666607855346</c:v>
                </c:pt>
                <c:pt idx="16">
                  <c:v>25971.857740751424</c:v>
                </c:pt>
                <c:pt idx="17">
                  <c:v>27494.885581076855</c:v>
                </c:pt>
                <c:pt idx="18">
                  <c:v>29051.900869587655</c:v>
                </c:pt>
                <c:pt idx="19">
                  <c:v>30637.555375874756</c:v>
                </c:pt>
                <c:pt idx="20">
                  <c:v>32246.067223821665</c:v>
                </c:pt>
                <c:pt idx="21">
                  <c:v>33871.29978308874</c:v>
                </c:pt>
                <c:pt idx="22">
                  <c:v>35506.852046204556</c:v>
                </c:pt>
                <c:pt idx="23">
                  <c:v>37146.157785744763</c:v>
                </c:pt>
                <c:pt idx="24">
                  <c:v>38782.590292281639</c:v>
                </c:pt>
                <c:pt idx="25">
                  <c:v>40409.569173094918</c:v>
                </c:pt>
                <c:pt idx="26">
                  <c:v>42020.665571913392</c:v>
                </c:pt>
                <c:pt idx="27">
                  <c:v>43609.70226174999</c:v>
                </c:pt>
                <c:pt idx="28">
                  <c:v>45170.845358110761</c:v>
                </c:pt>
                <c:pt idx="29">
                  <c:v>46698.684872782578</c:v>
                </c:pt>
                <c:pt idx="30">
                  <c:v>48188.30193882934</c:v>
                </c:pt>
                <c:pt idx="31">
                  <c:v>49635.321235430383</c:v>
                </c:pt>
                <c:pt idx="32">
                  <c:v>51035.947872791075</c:v>
                </c:pt>
                <c:pt idx="33">
                  <c:v>52386.988710189864</c:v>
                </c:pt>
                <c:pt idx="34">
                  <c:v>53685.858728537969</c:v>
                </c:pt>
                <c:pt idx="35">
                  <c:v>54930.573627111175</c:v>
                </c:pt>
                <c:pt idx="36">
                  <c:v>56119.730239155302</c:v>
                </c:pt>
                <c:pt idx="37">
                  <c:v>57252.47665235716</c:v>
                </c:pt>
                <c:pt idx="38">
                  <c:v>58328.474078874118</c:v>
                </c:pt>
                <c:pt idx="39">
                  <c:v>59347.852556504091</c:v>
                </c:pt>
                <c:pt idx="40">
                  <c:v>60311.162495371886</c:v>
                </c:pt>
                <c:pt idx="41">
                  <c:v>61219.323935038003</c:v>
                </c:pt>
                <c:pt idx="42">
                  <c:v>62073.57516851111</c:v>
                </c:pt>
                <c:pt idx="43">
                  <c:v>62875.42214485554</c:v>
                </c:pt>
                <c:pt idx="44">
                  <c:v>63626.589801186725</c:v>
                </c:pt>
                <c:pt idx="45">
                  <c:v>64328.97621474183</c:v>
                </c:pt>
                <c:pt idx="46">
                  <c:v>64984.610219480121</c:v>
                </c:pt>
                <c:pt idx="47">
                  <c:v>65595.612908545649</c:v>
                </c:pt>
                <c:pt idx="48">
                  <c:v>66164.163249617428</c:v>
                </c:pt>
                <c:pt idx="49">
                  <c:v>66692.467877358882</c:v>
                </c:pt>
                <c:pt idx="50">
                  <c:v>67182.73499612599</c:v>
                </c:pt>
                <c:pt idx="51">
                  <c:v>67637.152225277241</c:v>
                </c:pt>
                <c:pt idx="52">
                  <c:v>68057.868146114415</c:v>
                </c:pt>
                <c:pt idx="53">
                  <c:v>68446.977260226748</c:v>
                </c:pt>
                <c:pt idx="54">
                  <c:v>68806.508040054687</c:v>
                </c:pt>
                <c:pt idx="55">
                  <c:v>69138.413740079632</c:v>
                </c:pt>
                <c:pt idx="56">
                  <c:v>69444.565637629741</c:v>
                </c:pt>
                <c:pt idx="57">
                  <c:v>69726.74838266868</c:v>
                </c:pt>
                <c:pt idx="58">
                  <c:v>69986.657153315304</c:v>
                </c:pt>
                <c:pt idx="59">
                  <c:v>70225.896335884594</c:v>
                </c:pt>
                <c:pt idx="60">
                  <c:v>70445.979473032523</c:v>
                </c:pt>
                <c:pt idx="61">
                  <c:v>70648.330249618084</c:v>
                </c:pt>
                <c:pt idx="62">
                  <c:v>70834.284312014322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739-4BDC-8DD4-6D407F9810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8088504"/>
        <c:axId val="588086584"/>
      </c:scatterChart>
      <c:valAx>
        <c:axId val="588088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8086584"/>
        <c:crosses val="autoZero"/>
        <c:crossBetween val="midCat"/>
      </c:valAx>
      <c:valAx>
        <c:axId val="588086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8088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6</xdr:row>
      <xdr:rowOff>30480</xdr:rowOff>
    </xdr:from>
    <xdr:to>
      <xdr:col>3</xdr:col>
      <xdr:colOff>599771</xdr:colOff>
      <xdr:row>10</xdr:row>
      <xdr:rowOff>22770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8FBD03A-E9D0-40FA-99F9-264F049719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127760"/>
          <a:ext cx="2428571" cy="72381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83820</xdr:rowOff>
    </xdr:from>
    <xdr:to>
      <xdr:col>2</xdr:col>
      <xdr:colOff>418895</xdr:colOff>
      <xdr:row>16</xdr:row>
      <xdr:rowOff>163751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F776C41-27EE-4EFA-B47F-F6D6194165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461260"/>
          <a:ext cx="1638095" cy="628571"/>
        </a:xfrm>
        <a:prstGeom prst="rect">
          <a:avLst/>
        </a:prstGeom>
      </xdr:spPr>
    </xdr:pic>
    <xdr:clientData/>
  </xdr:twoCellAnchor>
  <xdr:twoCellAnchor editAs="oneCell">
    <xdr:from>
      <xdr:col>0</xdr:col>
      <xdr:colOff>7621</xdr:colOff>
      <xdr:row>19</xdr:row>
      <xdr:rowOff>53341</xdr:rowOff>
    </xdr:from>
    <xdr:to>
      <xdr:col>2</xdr:col>
      <xdr:colOff>411480</xdr:colOff>
      <xdr:row>23</xdr:row>
      <xdr:rowOff>11621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2CA2DE3-1A14-401E-A78B-23DE323EC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621" y="3528061"/>
          <a:ext cx="1623059" cy="689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605367</xdr:colOff>
      <xdr:row>5</xdr:row>
      <xdr:rowOff>116839</xdr:rowOff>
    </xdr:from>
    <xdr:to>
      <xdr:col>10</xdr:col>
      <xdr:colOff>582507</xdr:colOff>
      <xdr:row>11</xdr:row>
      <xdr:rowOff>98551</xdr:rowOff>
    </xdr:to>
    <xdr:sp macro="" textlink="">
      <xdr:nvSpPr>
        <xdr:cNvPr id="3" name="Arrow: Notched Right 2">
          <a:extLst>
            <a:ext uri="{FF2B5EF4-FFF2-40B4-BE49-F238E27FC236}">
              <a16:creationId xmlns:a16="http://schemas.microsoft.com/office/drawing/2014/main" id="{BF77AE73-EC6B-43CA-84DD-655764257EC9}"/>
            </a:ext>
          </a:extLst>
        </xdr:cNvPr>
        <xdr:cNvSpPr/>
      </xdr:nvSpPr>
      <xdr:spPr>
        <a:xfrm>
          <a:off x="4906434" y="1065106"/>
          <a:ext cx="2220806" cy="1099312"/>
        </a:xfrm>
        <a:prstGeom prst="notchedRightArrow">
          <a:avLst/>
        </a:prstGeom>
        <a:gradFill flip="none" rotWithShape="1">
          <a:gsLst>
            <a:gs pos="0">
              <a:schemeClr val="accent2">
                <a:lumMod val="40000"/>
                <a:lumOff val="60000"/>
                <a:shade val="30000"/>
                <a:satMod val="115000"/>
              </a:schemeClr>
            </a:gs>
            <a:gs pos="50000">
              <a:schemeClr val="accent2">
                <a:lumMod val="40000"/>
                <a:lumOff val="60000"/>
                <a:shade val="67500"/>
                <a:satMod val="115000"/>
              </a:schemeClr>
            </a:gs>
            <a:gs pos="100000">
              <a:schemeClr val="accent2">
                <a:lumMod val="40000"/>
                <a:lumOff val="60000"/>
                <a:shade val="100000"/>
                <a:satMod val="115000"/>
              </a:schemeClr>
            </a:gs>
          </a:gsLst>
          <a:lin ang="10800000" scaled="1"/>
          <a:tileRect/>
        </a:gra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115147</xdr:colOff>
      <xdr:row>16</xdr:row>
      <xdr:rowOff>69427</xdr:rowOff>
    </xdr:from>
    <xdr:to>
      <xdr:col>12</xdr:col>
      <xdr:colOff>397087</xdr:colOff>
      <xdr:row>32</xdr:row>
      <xdr:rowOff>31327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D37D6202-1B89-416F-9137-76E2528CE3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84666</xdr:colOff>
      <xdr:row>11</xdr:row>
      <xdr:rowOff>76200</xdr:rowOff>
    </xdr:from>
    <xdr:to>
      <xdr:col>22</xdr:col>
      <xdr:colOff>152400</xdr:colOff>
      <xdr:row>15</xdr:row>
      <xdr:rowOff>59266</xdr:rowOff>
    </xdr:to>
    <xdr:sp macro="[0]!Clearcell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1E8BA87-37C4-4873-AF42-245CE0C80004}"/>
            </a:ext>
          </a:extLst>
        </xdr:cNvPr>
        <xdr:cNvSpPr/>
      </xdr:nvSpPr>
      <xdr:spPr>
        <a:xfrm>
          <a:off x="11726333" y="2133600"/>
          <a:ext cx="1896534" cy="728133"/>
        </a:xfrm>
        <a:prstGeom prst="roundRect">
          <a:avLst/>
        </a:prstGeom>
        <a:ln>
          <a:noFill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latin typeface="Times New Roman" panose="02020603050405020304" pitchFamily="18" charset="0"/>
              <a:cs typeface="Times New Roman" panose="02020603050405020304" pitchFamily="18" charset="0"/>
            </a:rPr>
            <a:t>RESET VALUES</a:t>
          </a:r>
        </a:p>
      </xdr:txBody>
    </xdr:sp>
    <xdr:clientData/>
  </xdr:twoCellAnchor>
  <xdr:twoCellAnchor>
    <xdr:from>
      <xdr:col>4</xdr:col>
      <xdr:colOff>118533</xdr:colOff>
      <xdr:row>32</xdr:row>
      <xdr:rowOff>46566</xdr:rowOff>
    </xdr:from>
    <xdr:to>
      <xdr:col>12</xdr:col>
      <xdr:colOff>389467</xdr:colOff>
      <xdr:row>48</xdr:row>
      <xdr:rowOff>42332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6A25CC7-FF02-44F6-BDD6-698C13F5B4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177800</xdr:colOff>
      <xdr:row>16</xdr:row>
      <xdr:rowOff>84667</xdr:rowOff>
    </xdr:from>
    <xdr:to>
      <xdr:col>22</xdr:col>
      <xdr:colOff>118534</xdr:colOff>
      <xdr:row>19</xdr:row>
      <xdr:rowOff>152400</xdr:rowOff>
    </xdr:to>
    <xdr:sp macro="[0]!GOAL_SEEK_MACRO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BC8F9801-0A94-4868-86F6-894753231EE5}"/>
            </a:ext>
          </a:extLst>
        </xdr:cNvPr>
        <xdr:cNvSpPr/>
      </xdr:nvSpPr>
      <xdr:spPr>
        <a:xfrm>
          <a:off x="12234333" y="3081867"/>
          <a:ext cx="1769534" cy="626533"/>
        </a:xfrm>
        <a:prstGeom prst="roundRect">
          <a:avLst/>
        </a:prstGeom>
        <a:solidFill>
          <a:srgbClr val="002060"/>
        </a:solidFill>
        <a:ln w="12700" cap="flat" cmpd="sng" algn="ctr">
          <a:noFill/>
          <a:prstDash val="solid"/>
          <a:miter lim="800000"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2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GOAL SEEK for Error Minimization [r]</a:t>
          </a:r>
        </a:p>
      </xdr:txBody>
    </xdr:sp>
    <xdr:clientData/>
  </xdr:twoCellAnchor>
  <xdr:twoCellAnchor>
    <xdr:from>
      <xdr:col>19</xdr:col>
      <xdr:colOff>152400</xdr:colOff>
      <xdr:row>20</xdr:row>
      <xdr:rowOff>143933</xdr:rowOff>
    </xdr:from>
    <xdr:to>
      <xdr:col>22</xdr:col>
      <xdr:colOff>93134</xdr:colOff>
      <xdr:row>24</xdr:row>
      <xdr:rowOff>25400</xdr:rowOff>
    </xdr:to>
    <xdr:sp macro="[0]!GOAL_SHEEK_MACRO_K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2E90A889-7D68-48BF-8E39-AEAF236F8E83}"/>
            </a:ext>
          </a:extLst>
        </xdr:cNvPr>
        <xdr:cNvSpPr/>
      </xdr:nvSpPr>
      <xdr:spPr>
        <a:xfrm>
          <a:off x="12208933" y="3886200"/>
          <a:ext cx="1769534" cy="626533"/>
        </a:xfrm>
        <a:prstGeom prst="roundRect">
          <a:avLst/>
        </a:prstGeom>
        <a:solidFill>
          <a:srgbClr val="002060"/>
        </a:solidFill>
        <a:ln w="12700" cap="flat" cmpd="sng" algn="ctr">
          <a:noFill/>
          <a:prstDash val="solid"/>
          <a:miter lim="800000"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2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GOAL SEEK for Error Minimization [K]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63500</xdr:colOff>
      <xdr:row>5</xdr:row>
      <xdr:rowOff>108373</xdr:rowOff>
    </xdr:from>
    <xdr:to>
      <xdr:col>11</xdr:col>
      <xdr:colOff>40640</xdr:colOff>
      <xdr:row>11</xdr:row>
      <xdr:rowOff>90085</xdr:rowOff>
    </xdr:to>
    <xdr:sp macro="" textlink="">
      <xdr:nvSpPr>
        <xdr:cNvPr id="2" name="Arrow: Notched Right 1">
          <a:extLst>
            <a:ext uri="{FF2B5EF4-FFF2-40B4-BE49-F238E27FC236}">
              <a16:creationId xmlns:a16="http://schemas.microsoft.com/office/drawing/2014/main" id="{A7821B64-18F2-4271-AF47-77510B6966D0}"/>
            </a:ext>
          </a:extLst>
        </xdr:cNvPr>
        <xdr:cNvSpPr/>
      </xdr:nvSpPr>
      <xdr:spPr>
        <a:xfrm>
          <a:off x="4974167" y="1056640"/>
          <a:ext cx="2220806" cy="1099312"/>
        </a:xfrm>
        <a:prstGeom prst="notchedRightArrow">
          <a:avLst/>
        </a:prstGeom>
        <a:gradFill flip="none" rotWithShape="1">
          <a:gsLst>
            <a:gs pos="0">
              <a:schemeClr val="accent2">
                <a:lumMod val="40000"/>
                <a:lumOff val="60000"/>
                <a:shade val="30000"/>
                <a:satMod val="115000"/>
              </a:schemeClr>
            </a:gs>
            <a:gs pos="50000">
              <a:schemeClr val="accent2">
                <a:lumMod val="40000"/>
                <a:lumOff val="60000"/>
                <a:shade val="67500"/>
                <a:satMod val="115000"/>
              </a:schemeClr>
            </a:gs>
            <a:gs pos="100000">
              <a:schemeClr val="accent2">
                <a:lumMod val="40000"/>
                <a:lumOff val="60000"/>
                <a:shade val="100000"/>
                <a:satMod val="115000"/>
              </a:schemeClr>
            </a:gs>
          </a:gsLst>
          <a:lin ang="10800000" scaled="1"/>
          <a:tileRect/>
        </a:gra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115147</xdr:colOff>
      <xdr:row>16</xdr:row>
      <xdr:rowOff>69427</xdr:rowOff>
    </xdr:from>
    <xdr:to>
      <xdr:col>12</xdr:col>
      <xdr:colOff>397087</xdr:colOff>
      <xdr:row>32</xdr:row>
      <xdr:rowOff>31327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9D791AB-3DE8-438E-9415-DCE74E7AF9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372533</xdr:colOff>
      <xdr:row>5</xdr:row>
      <xdr:rowOff>118533</xdr:rowOff>
    </xdr:from>
    <xdr:to>
      <xdr:col>23</xdr:col>
      <xdr:colOff>440267</xdr:colOff>
      <xdr:row>9</xdr:row>
      <xdr:rowOff>101599</xdr:rowOff>
    </xdr:to>
    <xdr:sp macro="[0]!Clearcell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49AE8151-0B61-4157-998D-86E2D7326218}"/>
            </a:ext>
          </a:extLst>
        </xdr:cNvPr>
        <xdr:cNvSpPr/>
      </xdr:nvSpPr>
      <xdr:spPr>
        <a:xfrm>
          <a:off x="13411200" y="1066800"/>
          <a:ext cx="1896534" cy="728132"/>
        </a:xfrm>
        <a:prstGeom prst="roundRect">
          <a:avLst/>
        </a:prstGeom>
        <a:ln>
          <a:noFill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latin typeface="Times New Roman" panose="02020603050405020304" pitchFamily="18" charset="0"/>
              <a:cs typeface="Times New Roman" panose="02020603050405020304" pitchFamily="18" charset="0"/>
            </a:rPr>
            <a:t>RESET VALUES</a:t>
          </a:r>
        </a:p>
      </xdr:txBody>
    </xdr:sp>
    <xdr:clientData/>
  </xdr:twoCellAnchor>
  <xdr:twoCellAnchor>
    <xdr:from>
      <xdr:col>4</xdr:col>
      <xdr:colOff>118533</xdr:colOff>
      <xdr:row>32</xdr:row>
      <xdr:rowOff>46566</xdr:rowOff>
    </xdr:from>
    <xdr:to>
      <xdr:col>12</xdr:col>
      <xdr:colOff>389467</xdr:colOff>
      <xdr:row>48</xdr:row>
      <xdr:rowOff>42332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CA0B14E-9AF7-4DD7-99EA-E5EEF1D89E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423333</xdr:colOff>
      <xdr:row>10</xdr:row>
      <xdr:rowOff>118534</xdr:rowOff>
    </xdr:from>
    <xdr:to>
      <xdr:col>23</xdr:col>
      <xdr:colOff>364067</xdr:colOff>
      <xdr:row>14</xdr:row>
      <xdr:rowOff>0</xdr:rowOff>
    </xdr:to>
    <xdr:sp macro="[0]!GOAL_SEEK_MACRO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7224E096-C1AA-4666-92CA-D19F2D355429}"/>
            </a:ext>
          </a:extLst>
        </xdr:cNvPr>
        <xdr:cNvSpPr/>
      </xdr:nvSpPr>
      <xdr:spPr>
        <a:xfrm>
          <a:off x="13462000" y="1998134"/>
          <a:ext cx="1769534" cy="626533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GOAL SEEK for Error Minimization [r]</a:t>
          </a:r>
        </a:p>
      </xdr:txBody>
    </xdr:sp>
    <xdr:clientData/>
  </xdr:twoCellAnchor>
  <xdr:twoCellAnchor>
    <xdr:from>
      <xdr:col>20</xdr:col>
      <xdr:colOff>423334</xdr:colOff>
      <xdr:row>15</xdr:row>
      <xdr:rowOff>0</xdr:rowOff>
    </xdr:from>
    <xdr:to>
      <xdr:col>23</xdr:col>
      <xdr:colOff>364068</xdr:colOff>
      <xdr:row>18</xdr:row>
      <xdr:rowOff>67733</xdr:rowOff>
    </xdr:to>
    <xdr:sp macro="[0]!GOAL_SHEEK_MACRO_K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D31DCC40-E5F3-4A28-8587-042A2D63DDE1}"/>
            </a:ext>
          </a:extLst>
        </xdr:cNvPr>
        <xdr:cNvSpPr/>
      </xdr:nvSpPr>
      <xdr:spPr>
        <a:xfrm>
          <a:off x="13462001" y="2810933"/>
          <a:ext cx="1769534" cy="626533"/>
        </a:xfrm>
        <a:prstGeom prst="roundRect">
          <a:avLst/>
        </a:prstGeom>
        <a:solidFill>
          <a:srgbClr val="002060"/>
        </a:solidFill>
        <a:ln w="12700" cap="flat" cmpd="sng" algn="ctr">
          <a:noFill/>
          <a:prstDash val="solid"/>
          <a:miter lim="800000"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2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GOAL SEEK for Error Minimization [K]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579966</xdr:colOff>
      <xdr:row>5</xdr:row>
      <xdr:rowOff>6772</xdr:rowOff>
    </xdr:from>
    <xdr:to>
      <xdr:col>10</xdr:col>
      <xdr:colOff>557106</xdr:colOff>
      <xdr:row>10</xdr:row>
      <xdr:rowOff>174751</xdr:rowOff>
    </xdr:to>
    <xdr:sp macro="" textlink="">
      <xdr:nvSpPr>
        <xdr:cNvPr id="2" name="Arrow: Notched Right 1">
          <a:extLst>
            <a:ext uri="{FF2B5EF4-FFF2-40B4-BE49-F238E27FC236}">
              <a16:creationId xmlns:a16="http://schemas.microsoft.com/office/drawing/2014/main" id="{9A83D479-3101-488E-BC96-C3A4D8D8072C}"/>
            </a:ext>
          </a:extLst>
        </xdr:cNvPr>
        <xdr:cNvSpPr/>
      </xdr:nvSpPr>
      <xdr:spPr>
        <a:xfrm>
          <a:off x="4881033" y="955039"/>
          <a:ext cx="2220806" cy="1099312"/>
        </a:xfrm>
        <a:prstGeom prst="notchedRightArrow">
          <a:avLst/>
        </a:prstGeom>
        <a:gradFill flip="none" rotWithShape="1">
          <a:gsLst>
            <a:gs pos="0">
              <a:schemeClr val="accent2">
                <a:lumMod val="40000"/>
                <a:lumOff val="60000"/>
                <a:shade val="30000"/>
                <a:satMod val="115000"/>
              </a:schemeClr>
            </a:gs>
            <a:gs pos="50000">
              <a:schemeClr val="accent2">
                <a:lumMod val="40000"/>
                <a:lumOff val="60000"/>
                <a:shade val="67500"/>
                <a:satMod val="115000"/>
              </a:schemeClr>
            </a:gs>
            <a:gs pos="100000">
              <a:schemeClr val="accent2">
                <a:lumMod val="40000"/>
                <a:lumOff val="60000"/>
                <a:shade val="100000"/>
                <a:satMod val="115000"/>
              </a:schemeClr>
            </a:gs>
          </a:gsLst>
          <a:lin ang="10800000" scaled="1"/>
          <a:tileRect/>
        </a:gra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115147</xdr:colOff>
      <xdr:row>16</xdr:row>
      <xdr:rowOff>69427</xdr:rowOff>
    </xdr:from>
    <xdr:to>
      <xdr:col>12</xdr:col>
      <xdr:colOff>397087</xdr:colOff>
      <xdr:row>32</xdr:row>
      <xdr:rowOff>31327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73FB210-BB62-4B47-A896-8AFA0DB360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84666</xdr:colOff>
      <xdr:row>11</xdr:row>
      <xdr:rowOff>76200</xdr:rowOff>
    </xdr:from>
    <xdr:to>
      <xdr:col>22</xdr:col>
      <xdr:colOff>152400</xdr:colOff>
      <xdr:row>15</xdr:row>
      <xdr:rowOff>59266</xdr:rowOff>
    </xdr:to>
    <xdr:sp macro="[0]!Clearcell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58115D6A-0FE4-48AB-8CBD-0EC876C5E3FC}"/>
            </a:ext>
          </a:extLst>
        </xdr:cNvPr>
        <xdr:cNvSpPr/>
      </xdr:nvSpPr>
      <xdr:spPr>
        <a:xfrm>
          <a:off x="12131886" y="2118360"/>
          <a:ext cx="1896534" cy="714586"/>
        </a:xfrm>
        <a:prstGeom prst="roundRect">
          <a:avLst/>
        </a:prstGeom>
        <a:ln>
          <a:noFill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latin typeface="Times New Roman" panose="02020603050405020304" pitchFamily="18" charset="0"/>
              <a:cs typeface="Times New Roman" panose="02020603050405020304" pitchFamily="18" charset="0"/>
            </a:rPr>
            <a:t>RESET VALUES</a:t>
          </a:r>
        </a:p>
      </xdr:txBody>
    </xdr:sp>
    <xdr:clientData/>
  </xdr:twoCellAnchor>
  <xdr:twoCellAnchor>
    <xdr:from>
      <xdr:col>4</xdr:col>
      <xdr:colOff>118533</xdr:colOff>
      <xdr:row>32</xdr:row>
      <xdr:rowOff>46566</xdr:rowOff>
    </xdr:from>
    <xdr:to>
      <xdr:col>12</xdr:col>
      <xdr:colOff>389467</xdr:colOff>
      <xdr:row>48</xdr:row>
      <xdr:rowOff>42332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0801F24-DE4C-48D5-93A4-C144330518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592667</xdr:colOff>
      <xdr:row>5</xdr:row>
      <xdr:rowOff>135466</xdr:rowOff>
    </xdr:from>
    <xdr:to>
      <xdr:col>21</xdr:col>
      <xdr:colOff>533401</xdr:colOff>
      <xdr:row>9</xdr:row>
      <xdr:rowOff>16933</xdr:rowOff>
    </xdr:to>
    <xdr:sp macro="[0]!GOAL_SEEK_MACRO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1DBA2D5C-B398-424F-A8FF-D739C43B8A2A}"/>
            </a:ext>
          </a:extLst>
        </xdr:cNvPr>
        <xdr:cNvSpPr/>
      </xdr:nvSpPr>
      <xdr:spPr>
        <a:xfrm>
          <a:off x="12039600" y="1083733"/>
          <a:ext cx="1769534" cy="626533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>
              <a:latin typeface="Times New Roman" panose="02020603050405020304" pitchFamily="18" charset="0"/>
              <a:cs typeface="Times New Roman" panose="02020603050405020304" pitchFamily="18" charset="0"/>
            </a:rPr>
            <a:t>GOAL SEEK for Error Minimization [r]</a:t>
          </a:r>
        </a:p>
      </xdr:txBody>
    </xdr:sp>
    <xdr:clientData/>
  </xdr:twoCellAnchor>
  <xdr:twoCellAnchor>
    <xdr:from>
      <xdr:col>21</xdr:col>
      <xdr:colOff>592668</xdr:colOff>
      <xdr:row>5</xdr:row>
      <xdr:rowOff>160866</xdr:rowOff>
    </xdr:from>
    <xdr:to>
      <xdr:col>24</xdr:col>
      <xdr:colOff>533402</xdr:colOff>
      <xdr:row>9</xdr:row>
      <xdr:rowOff>42333</xdr:rowOff>
    </xdr:to>
    <xdr:sp macro="[0]!GOAL_SHEEK_MACRO_K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2AB4D048-7B8C-407A-9677-F5C10F9B1ADE}"/>
            </a:ext>
          </a:extLst>
        </xdr:cNvPr>
        <xdr:cNvSpPr/>
      </xdr:nvSpPr>
      <xdr:spPr>
        <a:xfrm>
          <a:off x="13868401" y="1109133"/>
          <a:ext cx="1769534" cy="626533"/>
        </a:xfrm>
        <a:prstGeom prst="roundRect">
          <a:avLst/>
        </a:prstGeom>
        <a:solidFill>
          <a:srgbClr val="002060"/>
        </a:solidFill>
        <a:ln w="12700" cap="flat" cmpd="sng" algn="ctr">
          <a:noFill/>
          <a:prstDash val="solid"/>
          <a:miter lim="800000"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2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GOAL SEEK for Error Minimization [K]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46566</xdr:colOff>
      <xdr:row>4</xdr:row>
      <xdr:rowOff>133773</xdr:rowOff>
    </xdr:from>
    <xdr:to>
      <xdr:col>11</xdr:col>
      <xdr:colOff>23706</xdr:colOff>
      <xdr:row>10</xdr:row>
      <xdr:rowOff>115485</xdr:rowOff>
    </xdr:to>
    <xdr:sp macro="" textlink="">
      <xdr:nvSpPr>
        <xdr:cNvPr id="2" name="Arrow: Notched Right 1">
          <a:extLst>
            <a:ext uri="{FF2B5EF4-FFF2-40B4-BE49-F238E27FC236}">
              <a16:creationId xmlns:a16="http://schemas.microsoft.com/office/drawing/2014/main" id="{B6DFD537-8C4E-4CA9-B1E0-C46A4E3D97CC}"/>
            </a:ext>
          </a:extLst>
        </xdr:cNvPr>
        <xdr:cNvSpPr/>
      </xdr:nvSpPr>
      <xdr:spPr>
        <a:xfrm>
          <a:off x="4957233" y="895773"/>
          <a:ext cx="2220806" cy="1099312"/>
        </a:xfrm>
        <a:prstGeom prst="notchedRightArrow">
          <a:avLst/>
        </a:prstGeom>
        <a:gradFill flip="none" rotWithShape="1">
          <a:gsLst>
            <a:gs pos="0">
              <a:schemeClr val="accent2">
                <a:lumMod val="40000"/>
                <a:lumOff val="60000"/>
                <a:shade val="30000"/>
                <a:satMod val="115000"/>
              </a:schemeClr>
            </a:gs>
            <a:gs pos="50000">
              <a:schemeClr val="accent2">
                <a:lumMod val="40000"/>
                <a:lumOff val="60000"/>
                <a:shade val="67500"/>
                <a:satMod val="115000"/>
              </a:schemeClr>
            </a:gs>
            <a:gs pos="100000">
              <a:schemeClr val="accent2">
                <a:lumMod val="40000"/>
                <a:lumOff val="60000"/>
                <a:shade val="100000"/>
                <a:satMod val="115000"/>
              </a:schemeClr>
            </a:gs>
          </a:gsLst>
          <a:lin ang="10800000" scaled="1"/>
          <a:tileRect/>
        </a:gra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115147</xdr:colOff>
      <xdr:row>16</xdr:row>
      <xdr:rowOff>69427</xdr:rowOff>
    </xdr:from>
    <xdr:to>
      <xdr:col>12</xdr:col>
      <xdr:colOff>397087</xdr:colOff>
      <xdr:row>32</xdr:row>
      <xdr:rowOff>31327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8B0EAD7-F23D-448F-A5AA-6E5A0DEEFB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84666</xdr:colOff>
      <xdr:row>11</xdr:row>
      <xdr:rowOff>76200</xdr:rowOff>
    </xdr:from>
    <xdr:to>
      <xdr:col>22</xdr:col>
      <xdr:colOff>152400</xdr:colOff>
      <xdr:row>15</xdr:row>
      <xdr:rowOff>59266</xdr:rowOff>
    </xdr:to>
    <xdr:sp macro="[0]!Clearcell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CB104953-C15D-43F7-8179-6C28B0051E2D}"/>
            </a:ext>
          </a:extLst>
        </xdr:cNvPr>
        <xdr:cNvSpPr/>
      </xdr:nvSpPr>
      <xdr:spPr>
        <a:xfrm>
          <a:off x="12131886" y="2118360"/>
          <a:ext cx="1896534" cy="714586"/>
        </a:xfrm>
        <a:prstGeom prst="roundRect">
          <a:avLst/>
        </a:prstGeom>
        <a:ln>
          <a:noFill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latin typeface="Times New Roman" panose="02020603050405020304" pitchFamily="18" charset="0"/>
              <a:cs typeface="Times New Roman" panose="02020603050405020304" pitchFamily="18" charset="0"/>
            </a:rPr>
            <a:t>RESET VALUES</a:t>
          </a:r>
        </a:p>
      </xdr:txBody>
    </xdr:sp>
    <xdr:clientData/>
  </xdr:twoCellAnchor>
  <xdr:twoCellAnchor>
    <xdr:from>
      <xdr:col>4</xdr:col>
      <xdr:colOff>118533</xdr:colOff>
      <xdr:row>32</xdr:row>
      <xdr:rowOff>46566</xdr:rowOff>
    </xdr:from>
    <xdr:to>
      <xdr:col>12</xdr:col>
      <xdr:colOff>389467</xdr:colOff>
      <xdr:row>48</xdr:row>
      <xdr:rowOff>42332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E10EAE6-9F77-4901-9C51-4CF4599EAA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177800</xdr:colOff>
      <xdr:row>16</xdr:row>
      <xdr:rowOff>84667</xdr:rowOff>
    </xdr:from>
    <xdr:to>
      <xdr:col>22</xdr:col>
      <xdr:colOff>118534</xdr:colOff>
      <xdr:row>19</xdr:row>
      <xdr:rowOff>152400</xdr:rowOff>
    </xdr:to>
    <xdr:sp macro="[0]!GOAL_SEEK_MACRO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24B6E6C8-1C13-4372-8E10-5DE5522BEE74}"/>
            </a:ext>
          </a:extLst>
        </xdr:cNvPr>
        <xdr:cNvSpPr/>
      </xdr:nvSpPr>
      <xdr:spPr>
        <a:xfrm>
          <a:off x="12225020" y="3041227"/>
          <a:ext cx="1769534" cy="616373"/>
        </a:xfrm>
        <a:prstGeom prst="roundRect">
          <a:avLst/>
        </a:prstGeom>
        <a:solidFill>
          <a:srgbClr val="002060"/>
        </a:solidFill>
        <a:ln w="12700" cap="flat" cmpd="sng" algn="ctr">
          <a:noFill/>
          <a:prstDash val="solid"/>
          <a:miter lim="800000"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2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GOAL SEEK for Error Minimization [r]</a:t>
          </a:r>
        </a:p>
      </xdr:txBody>
    </xdr:sp>
    <xdr:clientData/>
  </xdr:twoCellAnchor>
  <xdr:twoCellAnchor>
    <xdr:from>
      <xdr:col>19</xdr:col>
      <xdr:colOff>152400</xdr:colOff>
      <xdr:row>20</xdr:row>
      <xdr:rowOff>143933</xdr:rowOff>
    </xdr:from>
    <xdr:to>
      <xdr:col>22</xdr:col>
      <xdr:colOff>93134</xdr:colOff>
      <xdr:row>24</xdr:row>
      <xdr:rowOff>25400</xdr:rowOff>
    </xdr:to>
    <xdr:sp macro="[0]!GOAL_SHEEK_MACRO_K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824C45F5-6FF7-4F74-B550-59255C11DC76}"/>
            </a:ext>
          </a:extLst>
        </xdr:cNvPr>
        <xdr:cNvSpPr/>
      </xdr:nvSpPr>
      <xdr:spPr>
        <a:xfrm>
          <a:off x="12199620" y="3832013"/>
          <a:ext cx="1769534" cy="612987"/>
        </a:xfrm>
        <a:prstGeom prst="roundRect">
          <a:avLst/>
        </a:prstGeom>
        <a:solidFill>
          <a:srgbClr val="002060"/>
        </a:solidFill>
        <a:ln w="12700" cap="flat" cmpd="sng" algn="ctr">
          <a:noFill/>
          <a:prstDash val="solid"/>
          <a:miter lim="800000"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2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GOAL SEEK for Error Minimization [K]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605367</xdr:colOff>
      <xdr:row>5</xdr:row>
      <xdr:rowOff>116839</xdr:rowOff>
    </xdr:from>
    <xdr:to>
      <xdr:col>10</xdr:col>
      <xdr:colOff>582507</xdr:colOff>
      <xdr:row>11</xdr:row>
      <xdr:rowOff>98551</xdr:rowOff>
    </xdr:to>
    <xdr:sp macro="" textlink="">
      <xdr:nvSpPr>
        <xdr:cNvPr id="2" name="Arrow: Notched Right 1">
          <a:extLst>
            <a:ext uri="{FF2B5EF4-FFF2-40B4-BE49-F238E27FC236}">
              <a16:creationId xmlns:a16="http://schemas.microsoft.com/office/drawing/2014/main" id="{8C620006-843A-4DB1-9E60-A13F523A297E}"/>
            </a:ext>
          </a:extLst>
        </xdr:cNvPr>
        <xdr:cNvSpPr/>
      </xdr:nvSpPr>
      <xdr:spPr>
        <a:xfrm>
          <a:off x="4903047" y="1061719"/>
          <a:ext cx="2217420" cy="1078992"/>
        </a:xfrm>
        <a:prstGeom prst="notchedRightArrow">
          <a:avLst/>
        </a:prstGeom>
        <a:gradFill flip="none" rotWithShape="1">
          <a:gsLst>
            <a:gs pos="0">
              <a:schemeClr val="accent2">
                <a:lumMod val="40000"/>
                <a:lumOff val="60000"/>
                <a:shade val="30000"/>
                <a:satMod val="115000"/>
              </a:schemeClr>
            </a:gs>
            <a:gs pos="50000">
              <a:schemeClr val="accent2">
                <a:lumMod val="40000"/>
                <a:lumOff val="60000"/>
                <a:shade val="67500"/>
                <a:satMod val="115000"/>
              </a:schemeClr>
            </a:gs>
            <a:gs pos="100000">
              <a:schemeClr val="accent2">
                <a:lumMod val="40000"/>
                <a:lumOff val="60000"/>
                <a:shade val="100000"/>
                <a:satMod val="115000"/>
              </a:schemeClr>
            </a:gs>
          </a:gsLst>
          <a:lin ang="10800000" scaled="1"/>
          <a:tileRect/>
        </a:gra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115147</xdr:colOff>
      <xdr:row>16</xdr:row>
      <xdr:rowOff>69427</xdr:rowOff>
    </xdr:from>
    <xdr:to>
      <xdr:col>12</xdr:col>
      <xdr:colOff>397087</xdr:colOff>
      <xdr:row>32</xdr:row>
      <xdr:rowOff>31327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D16BD38-CD82-4277-BF0E-73AB25C770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84666</xdr:colOff>
      <xdr:row>11</xdr:row>
      <xdr:rowOff>76200</xdr:rowOff>
    </xdr:from>
    <xdr:to>
      <xdr:col>22</xdr:col>
      <xdr:colOff>152400</xdr:colOff>
      <xdr:row>15</xdr:row>
      <xdr:rowOff>59266</xdr:rowOff>
    </xdr:to>
    <xdr:sp macro="[0]!Clearcell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2DA9841C-60F8-4683-B588-38E0206AE68B}"/>
            </a:ext>
          </a:extLst>
        </xdr:cNvPr>
        <xdr:cNvSpPr/>
      </xdr:nvSpPr>
      <xdr:spPr>
        <a:xfrm>
          <a:off x="12131886" y="2118360"/>
          <a:ext cx="2163234" cy="714586"/>
        </a:xfrm>
        <a:prstGeom prst="roundRect">
          <a:avLst/>
        </a:prstGeom>
        <a:ln>
          <a:noFill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latin typeface="Times New Roman" panose="02020603050405020304" pitchFamily="18" charset="0"/>
              <a:cs typeface="Times New Roman" panose="02020603050405020304" pitchFamily="18" charset="0"/>
            </a:rPr>
            <a:t>RESET VALUES</a:t>
          </a:r>
        </a:p>
      </xdr:txBody>
    </xdr:sp>
    <xdr:clientData/>
  </xdr:twoCellAnchor>
  <xdr:twoCellAnchor>
    <xdr:from>
      <xdr:col>4</xdr:col>
      <xdr:colOff>118533</xdr:colOff>
      <xdr:row>32</xdr:row>
      <xdr:rowOff>46566</xdr:rowOff>
    </xdr:from>
    <xdr:to>
      <xdr:col>12</xdr:col>
      <xdr:colOff>389467</xdr:colOff>
      <xdr:row>48</xdr:row>
      <xdr:rowOff>42332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81AD6E0-3409-43BE-B9E0-8180A3FCA1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177800</xdr:colOff>
      <xdr:row>16</xdr:row>
      <xdr:rowOff>84667</xdr:rowOff>
    </xdr:from>
    <xdr:to>
      <xdr:col>22</xdr:col>
      <xdr:colOff>118534</xdr:colOff>
      <xdr:row>19</xdr:row>
      <xdr:rowOff>152400</xdr:rowOff>
    </xdr:to>
    <xdr:sp macro="[0]!GOAL_SEEK_MACRO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1754A388-C5DD-4092-AC61-2D6C160DD6E5}"/>
            </a:ext>
          </a:extLst>
        </xdr:cNvPr>
        <xdr:cNvSpPr/>
      </xdr:nvSpPr>
      <xdr:spPr>
        <a:xfrm>
          <a:off x="12225020" y="3041227"/>
          <a:ext cx="2036234" cy="616373"/>
        </a:xfrm>
        <a:prstGeom prst="roundRect">
          <a:avLst/>
        </a:prstGeom>
        <a:solidFill>
          <a:srgbClr val="002060"/>
        </a:solidFill>
        <a:ln w="12700" cap="flat" cmpd="sng" algn="ctr">
          <a:noFill/>
          <a:prstDash val="solid"/>
          <a:miter lim="800000"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2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GOAL SEEK for Error Minimization [r]</a:t>
          </a:r>
        </a:p>
      </xdr:txBody>
    </xdr:sp>
    <xdr:clientData/>
  </xdr:twoCellAnchor>
  <xdr:twoCellAnchor>
    <xdr:from>
      <xdr:col>19</xdr:col>
      <xdr:colOff>152400</xdr:colOff>
      <xdr:row>20</xdr:row>
      <xdr:rowOff>143933</xdr:rowOff>
    </xdr:from>
    <xdr:to>
      <xdr:col>22</xdr:col>
      <xdr:colOff>93134</xdr:colOff>
      <xdr:row>24</xdr:row>
      <xdr:rowOff>25400</xdr:rowOff>
    </xdr:to>
    <xdr:sp macro="[0]!GOAL_SHEEK_MACRO_K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1D158029-F796-44DE-BCFB-0F87DD3747DE}"/>
            </a:ext>
          </a:extLst>
        </xdr:cNvPr>
        <xdr:cNvSpPr/>
      </xdr:nvSpPr>
      <xdr:spPr>
        <a:xfrm>
          <a:off x="12199620" y="3832013"/>
          <a:ext cx="2036234" cy="612987"/>
        </a:xfrm>
        <a:prstGeom prst="roundRect">
          <a:avLst/>
        </a:prstGeom>
        <a:solidFill>
          <a:srgbClr val="002060"/>
        </a:solidFill>
        <a:ln w="12700" cap="flat" cmpd="sng" algn="ctr">
          <a:noFill/>
          <a:prstDash val="solid"/>
          <a:miter lim="800000"/>
        </a:ln>
        <a:effectLst>
          <a:outerShdw blurRad="184150" dist="241300" dir="11520000" sx="110000" sy="110000" algn="ctr">
            <a:srgbClr val="000000">
              <a:alpha val="18000"/>
            </a:srgbClr>
          </a:outerShdw>
        </a:effectLst>
        <a:scene3d>
          <a:camera prst="perspectiveFront" fov="5100000">
            <a:rot lat="0" lon="2100000" rev="0"/>
          </a:camera>
          <a:lightRig rig="flood" dir="t">
            <a:rot lat="0" lon="0" rev="13800000"/>
          </a:lightRig>
        </a:scene3d>
        <a:sp3d extrusionH="107950" prstMaterial="plastic">
          <a:bevelT w="82550" h="63500" prst="divot"/>
          <a:bevelB/>
        </a:sp3d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2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GOAL SEEK for Error Minimization [K]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Blue">
      <a:dk1>
        <a:sysClr val="windowText" lastClr="000000"/>
      </a:dk1>
      <a:lt1>
        <a:sysClr val="window" lastClr="FFFFFF"/>
      </a:lt1>
      <a:dk2>
        <a:srgbClr val="17406D"/>
      </a:dk2>
      <a:lt2>
        <a:srgbClr val="DBEFF9"/>
      </a:lt2>
      <a:accent1>
        <a:srgbClr val="0F6FC6"/>
      </a:accent1>
      <a:accent2>
        <a:srgbClr val="009DD9"/>
      </a:accent2>
      <a:accent3>
        <a:srgbClr val="0BD0D9"/>
      </a:accent3>
      <a:accent4>
        <a:srgbClr val="10CF9B"/>
      </a:accent4>
      <a:accent5>
        <a:srgbClr val="7CCA62"/>
      </a:accent5>
      <a:accent6>
        <a:srgbClr val="A5C249"/>
      </a:accent6>
      <a:hlink>
        <a:srgbClr val="F49100"/>
      </a:hlink>
      <a:folHlink>
        <a:srgbClr val="85DFD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29"/>
  <sheetViews>
    <sheetView workbookViewId="0">
      <selection activeCell="A26" sqref="A26"/>
    </sheetView>
  </sheetViews>
  <sheetFormatPr defaultRowHeight="14.4" x14ac:dyDescent="0.3"/>
  <sheetData>
    <row r="1" spans="1:23" x14ac:dyDescent="0.3">
      <c r="A1" s="42" t="s">
        <v>0</v>
      </c>
      <c r="B1" s="43"/>
      <c r="C1" s="43"/>
      <c r="D1" s="44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</row>
    <row r="2" spans="1:23" x14ac:dyDescent="0.3">
      <c r="A2" s="45"/>
      <c r="B2" s="46"/>
      <c r="C2" s="46"/>
      <c r="D2" s="47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</row>
    <row r="3" spans="1:23" x14ac:dyDescent="0.3">
      <c r="A3" s="45"/>
      <c r="B3" s="46"/>
      <c r="C3" s="46"/>
      <c r="D3" s="47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</row>
    <row r="4" spans="1:23" x14ac:dyDescent="0.3">
      <c r="A4" s="45"/>
      <c r="B4" s="46"/>
      <c r="C4" s="46"/>
      <c r="D4" s="47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</row>
    <row r="5" spans="1:23" x14ac:dyDescent="0.3">
      <c r="A5" s="45"/>
      <c r="B5" s="46"/>
      <c r="C5" s="46"/>
      <c r="D5" s="47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</row>
    <row r="6" spans="1:23" x14ac:dyDescent="0.3">
      <c r="A6" s="48"/>
      <c r="B6" s="49"/>
      <c r="C6" s="49"/>
      <c r="D6" s="50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</row>
    <row r="7" spans="1:23" x14ac:dyDescent="0.3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</row>
    <row r="8" spans="1:23" x14ac:dyDescent="0.3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</row>
    <row r="9" spans="1:23" x14ac:dyDescent="0.3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</row>
    <row r="10" spans="1:23" x14ac:dyDescent="0.3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</row>
    <row r="11" spans="1:23" x14ac:dyDescent="0.3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</row>
    <row r="12" spans="1:23" x14ac:dyDescent="0.3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</row>
    <row r="13" spans="1:23" x14ac:dyDescent="0.3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</row>
    <row r="14" spans="1:23" x14ac:dyDescent="0.3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</row>
    <row r="15" spans="1:23" x14ac:dyDescent="0.3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</row>
    <row r="16" spans="1:23" x14ac:dyDescent="0.3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</row>
    <row r="17" spans="1:23" x14ac:dyDescent="0.3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</row>
    <row r="18" spans="1:23" x14ac:dyDescent="0.3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</row>
    <row r="19" spans="1:23" x14ac:dyDescent="0.3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</row>
    <row r="20" spans="1:23" x14ac:dyDescent="0.3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</row>
    <row r="21" spans="1:23" x14ac:dyDescent="0.3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</row>
    <row r="22" spans="1:23" x14ac:dyDescent="0.3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</row>
    <row r="23" spans="1:23" x14ac:dyDescent="0.3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</row>
    <row r="24" spans="1:23" x14ac:dyDescent="0.3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</row>
    <row r="25" spans="1:23" x14ac:dyDescent="0.3">
      <c r="A25" s="6" t="s">
        <v>49</v>
      </c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</row>
    <row r="26" spans="1:23" x14ac:dyDescent="0.3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</row>
    <row r="27" spans="1:23" x14ac:dyDescent="0.3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</row>
    <row r="28" spans="1:23" x14ac:dyDescent="0.3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</row>
    <row r="29" spans="1:23" x14ac:dyDescent="0.3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</row>
  </sheetData>
  <mergeCells count="1">
    <mergeCell ref="A1:D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7343F-9085-493B-860C-A546BBCCA59F}">
  <sheetPr codeName="Sheet2"/>
  <dimension ref="A1:X31"/>
  <sheetViews>
    <sheetView workbookViewId="0">
      <selection activeCell="E17" sqref="E17"/>
    </sheetView>
  </sheetViews>
  <sheetFormatPr defaultRowHeight="14.4" x14ac:dyDescent="0.3"/>
  <sheetData>
    <row r="1" spans="1:24" x14ac:dyDescent="0.3">
      <c r="A1" s="51" t="s">
        <v>38</v>
      </c>
      <c r="B1" s="51"/>
      <c r="C1" s="51"/>
      <c r="D1" s="51"/>
      <c r="E1" s="51"/>
      <c r="F1" s="51"/>
      <c r="G1" s="51"/>
      <c r="H1" s="51"/>
      <c r="I1" s="51"/>
      <c r="J1" s="51"/>
      <c r="K1" s="51"/>
      <c r="L1" s="51"/>
      <c r="M1" s="51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</row>
    <row r="2" spans="1:24" x14ac:dyDescent="0.3">
      <c r="A2" s="51"/>
      <c r="B2" s="51"/>
      <c r="C2" s="51"/>
      <c r="D2" s="51"/>
      <c r="E2" s="51"/>
      <c r="F2" s="51"/>
      <c r="G2" s="51"/>
      <c r="H2" s="51"/>
      <c r="I2" s="51"/>
      <c r="J2" s="51"/>
      <c r="K2" s="51"/>
      <c r="L2" s="51"/>
      <c r="M2" s="51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</row>
    <row r="3" spans="1:24" x14ac:dyDescent="0.3">
      <c r="A3" s="51"/>
      <c r="B3" s="51"/>
      <c r="C3" s="51"/>
      <c r="D3" s="51"/>
      <c r="E3" s="51"/>
      <c r="F3" s="51"/>
      <c r="G3" s="51"/>
      <c r="H3" s="51"/>
      <c r="I3" s="51"/>
      <c r="J3" s="51"/>
      <c r="K3" s="51"/>
      <c r="L3" s="51"/>
      <c r="M3" s="51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</row>
    <row r="4" spans="1:24" x14ac:dyDescent="0.3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</row>
    <row r="5" spans="1:24" x14ac:dyDescent="0.3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</row>
    <row r="6" spans="1:24" x14ac:dyDescent="0.3">
      <c r="A6" s="13"/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</row>
    <row r="7" spans="1:24" x14ac:dyDescent="0.3">
      <c r="A7" s="32" t="s">
        <v>1</v>
      </c>
      <c r="B7" s="16" t="s">
        <v>31</v>
      </c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</row>
    <row r="8" spans="1:24" x14ac:dyDescent="0.3">
      <c r="A8" s="32" t="s">
        <v>2</v>
      </c>
      <c r="B8" s="16" t="s">
        <v>33</v>
      </c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</row>
    <row r="9" spans="1:24" x14ac:dyDescent="0.3">
      <c r="A9" s="32" t="s">
        <v>3</v>
      </c>
      <c r="B9" s="16" t="s">
        <v>32</v>
      </c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</row>
    <row r="10" spans="1:24" x14ac:dyDescent="0.3">
      <c r="A10" s="32" t="s">
        <v>4</v>
      </c>
      <c r="B10" s="16" t="s">
        <v>5</v>
      </c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</row>
    <row r="11" spans="1:24" x14ac:dyDescent="0.3">
      <c r="A11" s="32" t="s">
        <v>6</v>
      </c>
      <c r="B11" s="16" t="s">
        <v>7</v>
      </c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</row>
    <row r="12" spans="1:24" x14ac:dyDescent="0.3">
      <c r="A12" s="32" t="s">
        <v>8</v>
      </c>
      <c r="B12" s="16" t="s">
        <v>34</v>
      </c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</row>
    <row r="13" spans="1:24" x14ac:dyDescent="0.3">
      <c r="A13" s="32" t="s">
        <v>9</v>
      </c>
      <c r="B13" s="16" t="s">
        <v>35</v>
      </c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</row>
    <row r="14" spans="1:24" x14ac:dyDescent="0.3">
      <c r="A14" s="32" t="s">
        <v>10</v>
      </c>
      <c r="B14" s="16" t="s">
        <v>36</v>
      </c>
      <c r="C14" s="13"/>
      <c r="D14" s="13"/>
      <c r="E14" s="13"/>
      <c r="F14" s="13"/>
      <c r="G14" s="13"/>
      <c r="H14" s="13"/>
      <c r="I14" s="14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</row>
    <row r="15" spans="1:24" x14ac:dyDescent="0.3">
      <c r="A15" s="32" t="s">
        <v>11</v>
      </c>
      <c r="B15" s="16" t="s">
        <v>37</v>
      </c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</row>
    <row r="16" spans="1:24" x14ac:dyDescent="0.3">
      <c r="A16" s="32" t="s">
        <v>12</v>
      </c>
      <c r="B16" s="16" t="s">
        <v>15</v>
      </c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</row>
    <row r="17" spans="1:24" x14ac:dyDescent="0.3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</row>
    <row r="18" spans="1:24" x14ac:dyDescent="0.3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</row>
    <row r="19" spans="1:24" x14ac:dyDescent="0.3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</row>
    <row r="20" spans="1:24" x14ac:dyDescent="0.3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</row>
    <row r="21" spans="1:24" x14ac:dyDescent="0.3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</row>
    <row r="22" spans="1:24" x14ac:dyDescent="0.3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</row>
    <row r="23" spans="1:24" x14ac:dyDescent="0.3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</row>
    <row r="24" spans="1:24" x14ac:dyDescent="0.3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</row>
    <row r="25" spans="1:24" x14ac:dyDescent="0.3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</row>
    <row r="26" spans="1:24" x14ac:dyDescent="0.3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</row>
    <row r="27" spans="1:24" x14ac:dyDescent="0.3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</row>
    <row r="28" spans="1:24" x14ac:dyDescent="0.3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</row>
    <row r="29" spans="1:24" x14ac:dyDescent="0.3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</row>
    <row r="30" spans="1:24" x14ac:dyDescent="0.3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</row>
    <row r="31" spans="1:24" x14ac:dyDescent="0.3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</row>
  </sheetData>
  <mergeCells count="1">
    <mergeCell ref="A1:M3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8E186-9202-4850-B599-B1442A410DDB}">
  <sheetPr codeName="Sheet3"/>
  <dimension ref="A1:X31"/>
  <sheetViews>
    <sheetView tabSelected="1" workbookViewId="0">
      <selection activeCell="L10" sqref="L10"/>
    </sheetView>
  </sheetViews>
  <sheetFormatPr defaultRowHeight="14.4" x14ac:dyDescent="0.3"/>
  <cols>
    <col min="1" max="16384" width="8.88671875" style="12"/>
  </cols>
  <sheetData>
    <row r="1" spans="1:24" ht="14.4" customHeight="1" x14ac:dyDescent="0.3">
      <c r="A1" s="52" t="s">
        <v>29</v>
      </c>
      <c r="B1" s="53"/>
      <c r="C1" s="53"/>
      <c r="D1" s="53"/>
      <c r="E1" s="53"/>
      <c r="F1" s="53"/>
      <c r="G1" s="53"/>
      <c r="H1" s="53"/>
      <c r="I1" s="54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</row>
    <row r="2" spans="1:24" ht="14.4" customHeight="1" thickBot="1" x14ac:dyDescent="0.35">
      <c r="A2" s="55"/>
      <c r="B2" s="56"/>
      <c r="C2" s="56"/>
      <c r="D2" s="56"/>
      <c r="E2" s="56"/>
      <c r="F2" s="56"/>
      <c r="G2" s="56"/>
      <c r="H2" s="56"/>
      <c r="I2" s="57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</row>
    <row r="3" spans="1:24" x14ac:dyDescent="0.3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</row>
    <row r="4" spans="1:24" x14ac:dyDescent="0.3">
      <c r="A4" s="11" t="s">
        <v>44</v>
      </c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</row>
    <row r="5" spans="1:24" x14ac:dyDescent="0.3">
      <c r="A5" s="11" t="s">
        <v>43</v>
      </c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</row>
    <row r="6" spans="1:24" x14ac:dyDescent="0.3">
      <c r="A6" s="11" t="s">
        <v>45</v>
      </c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39"/>
      <c r="O6" s="39"/>
      <c r="P6" s="39"/>
      <c r="Q6" s="39"/>
      <c r="R6" s="39"/>
      <c r="S6" s="39"/>
      <c r="T6" s="39"/>
      <c r="U6" s="39"/>
      <c r="V6" s="11"/>
      <c r="W6" s="11"/>
      <c r="X6" s="11"/>
    </row>
    <row r="7" spans="1:24" ht="14.4" customHeight="1" x14ac:dyDescent="0.3">
      <c r="A7" s="11"/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38"/>
      <c r="O7" s="38"/>
      <c r="P7" s="38"/>
      <c r="Q7" s="38"/>
      <c r="R7" s="38"/>
      <c r="S7" s="38"/>
      <c r="T7" s="38"/>
      <c r="U7" s="39"/>
      <c r="V7" s="11"/>
      <c r="W7" s="11"/>
      <c r="X7" s="11"/>
    </row>
    <row r="8" spans="1:24" x14ac:dyDescent="0.3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38"/>
      <c r="O8" s="38"/>
      <c r="P8" s="38"/>
      <c r="Q8" s="38"/>
      <c r="R8" s="38"/>
      <c r="S8" s="38"/>
      <c r="T8" s="38"/>
      <c r="U8" s="39"/>
      <c r="V8" s="11"/>
      <c r="W8" s="11"/>
      <c r="X8" s="11"/>
    </row>
    <row r="9" spans="1:24" x14ac:dyDescent="0.3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38"/>
      <c r="O9" s="38"/>
      <c r="P9" s="38"/>
      <c r="Q9" s="38"/>
      <c r="R9" s="38"/>
      <c r="S9" s="38"/>
      <c r="T9" s="38"/>
      <c r="U9" s="39"/>
      <c r="V9" s="11"/>
      <c r="W9" s="11"/>
      <c r="X9" s="11"/>
    </row>
    <row r="10" spans="1:24" x14ac:dyDescent="0.3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38"/>
      <c r="O10" s="38"/>
      <c r="P10" s="38"/>
      <c r="Q10" s="38"/>
      <c r="R10" s="38"/>
      <c r="S10" s="38"/>
      <c r="T10" s="38"/>
      <c r="U10" s="39"/>
      <c r="V10" s="11"/>
      <c r="W10" s="11"/>
      <c r="X10" s="11"/>
    </row>
    <row r="11" spans="1:24" x14ac:dyDescent="0.3">
      <c r="A11" s="11"/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38"/>
      <c r="O11" s="38"/>
      <c r="P11" s="38"/>
      <c r="Q11" s="38"/>
      <c r="R11" s="38"/>
      <c r="S11" s="38"/>
      <c r="T11" s="38"/>
      <c r="U11" s="39"/>
      <c r="V11" s="11"/>
      <c r="W11" s="11"/>
      <c r="X11" s="11"/>
    </row>
    <row r="12" spans="1:24" x14ac:dyDescent="0.3">
      <c r="A12" s="11" t="s">
        <v>47</v>
      </c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38"/>
      <c r="O12" s="38"/>
      <c r="P12" s="38"/>
      <c r="Q12" s="38"/>
      <c r="R12" s="38"/>
      <c r="S12" s="38"/>
      <c r="T12" s="38"/>
      <c r="U12" s="39"/>
      <c r="V12" s="11"/>
      <c r="W12" s="11"/>
      <c r="X12" s="11"/>
    </row>
    <row r="13" spans="1:24" x14ac:dyDescent="0.3">
      <c r="A13" s="11" t="s">
        <v>46</v>
      </c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38"/>
      <c r="O13" s="38"/>
      <c r="P13" s="38"/>
      <c r="Q13" s="38"/>
      <c r="R13" s="38"/>
      <c r="S13" s="38"/>
      <c r="T13" s="38"/>
      <c r="U13" s="39"/>
      <c r="V13" s="11"/>
      <c r="W13" s="11"/>
      <c r="X13" s="11"/>
    </row>
    <row r="14" spans="1:24" x14ac:dyDescent="0.3">
      <c r="A14" s="11"/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38"/>
      <c r="O14" s="38"/>
      <c r="P14" s="38"/>
      <c r="Q14" s="38"/>
      <c r="R14" s="38"/>
      <c r="S14" s="38"/>
      <c r="T14" s="38"/>
      <c r="U14" s="39"/>
      <c r="V14" s="11"/>
      <c r="W14" s="11"/>
      <c r="X14" s="11"/>
    </row>
    <row r="15" spans="1:24" x14ac:dyDescent="0.3">
      <c r="A15" s="11"/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38"/>
      <c r="O15" s="38"/>
      <c r="P15" s="38"/>
      <c r="Q15" s="38"/>
      <c r="R15" s="38"/>
      <c r="S15" s="38"/>
      <c r="T15" s="38"/>
      <c r="U15" s="39"/>
      <c r="V15" s="11"/>
      <c r="W15" s="11"/>
      <c r="X15" s="11"/>
    </row>
    <row r="16" spans="1:24" x14ac:dyDescent="0.3">
      <c r="A16" s="11"/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38"/>
      <c r="O16" s="38"/>
      <c r="P16" s="38"/>
      <c r="Q16" s="38"/>
      <c r="R16" s="38"/>
      <c r="S16" s="38"/>
      <c r="T16" s="38"/>
      <c r="U16" s="39"/>
      <c r="V16" s="11"/>
      <c r="W16" s="11"/>
      <c r="X16" s="11"/>
    </row>
    <row r="17" spans="1:24" x14ac:dyDescent="0.3">
      <c r="A17" s="11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38"/>
      <c r="O17" s="38"/>
      <c r="P17" s="38"/>
      <c r="Q17" s="38"/>
      <c r="R17" s="38"/>
      <c r="S17" s="38"/>
      <c r="T17" s="38"/>
      <c r="U17" s="39"/>
      <c r="V17" s="11"/>
      <c r="W17" s="11"/>
      <c r="X17" s="11"/>
    </row>
    <row r="18" spans="1:24" x14ac:dyDescent="0.3">
      <c r="A18" s="11"/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38"/>
      <c r="O18" s="38"/>
      <c r="P18" s="38"/>
      <c r="Q18" s="38"/>
      <c r="R18" s="38"/>
      <c r="S18" s="38"/>
      <c r="T18" s="38"/>
      <c r="U18" s="39"/>
      <c r="V18" s="11"/>
      <c r="W18" s="11"/>
      <c r="X18" s="11"/>
    </row>
    <row r="19" spans="1:24" x14ac:dyDescent="0.3">
      <c r="A19" s="11" t="s">
        <v>48</v>
      </c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38"/>
      <c r="O19" s="38"/>
      <c r="P19" s="38"/>
      <c r="Q19" s="38"/>
      <c r="R19" s="38"/>
      <c r="S19" s="38"/>
      <c r="T19" s="38"/>
      <c r="U19" s="39"/>
      <c r="V19" s="11"/>
      <c r="W19" s="11"/>
      <c r="X19" s="11"/>
    </row>
    <row r="20" spans="1:24" x14ac:dyDescent="0.3">
      <c r="A20" s="11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39"/>
      <c r="O20" s="39"/>
      <c r="P20" s="39"/>
      <c r="Q20" s="39"/>
      <c r="R20" s="39"/>
      <c r="S20" s="39"/>
      <c r="T20" s="39"/>
      <c r="U20" s="39"/>
      <c r="V20" s="11"/>
      <c r="W20" s="11"/>
      <c r="X20" s="11"/>
    </row>
    <row r="21" spans="1:24" x14ac:dyDescent="0.3">
      <c r="A21" s="11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39"/>
      <c r="O21" s="39"/>
      <c r="P21" s="39"/>
      <c r="Q21" s="39"/>
      <c r="R21" s="39"/>
      <c r="S21" s="39"/>
      <c r="T21" s="39"/>
      <c r="U21" s="39"/>
      <c r="V21" s="11"/>
      <c r="W21" s="11"/>
      <c r="X21" s="11"/>
    </row>
    <row r="22" spans="1:24" x14ac:dyDescent="0.3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</row>
    <row r="23" spans="1:24" x14ac:dyDescent="0.3">
      <c r="A23" s="11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</row>
    <row r="24" spans="1:24" x14ac:dyDescent="0.3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</row>
    <row r="25" spans="1:24" x14ac:dyDescent="0.3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</row>
    <row r="26" spans="1:24" x14ac:dyDescent="0.3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</row>
    <row r="27" spans="1:24" x14ac:dyDescent="0.3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</row>
    <row r="28" spans="1:24" x14ac:dyDescent="0.3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</row>
    <row r="29" spans="1:24" x14ac:dyDescent="0.3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</row>
    <row r="30" spans="1:24" x14ac:dyDescent="0.3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</row>
    <row r="31" spans="1:24" x14ac:dyDescent="0.3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</row>
  </sheetData>
  <mergeCells count="1">
    <mergeCell ref="A1:I2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50DBBD-ABAD-4C36-AEF6-E030520515EB}">
  <sheetPr codeName="Sheet6"/>
  <dimension ref="A1:X32"/>
  <sheetViews>
    <sheetView workbookViewId="0">
      <selection activeCell="H29" sqref="H29"/>
    </sheetView>
  </sheetViews>
  <sheetFormatPr defaultRowHeight="14.4" x14ac:dyDescent="0.3"/>
  <sheetData>
    <row r="1" spans="1:24" x14ac:dyDescent="0.3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</row>
    <row r="2" spans="1:24" x14ac:dyDescent="0.3">
      <c r="A2" s="23" t="s">
        <v>52</v>
      </c>
      <c r="B2" s="24" t="s">
        <v>74</v>
      </c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</row>
    <row r="3" spans="1:24" x14ac:dyDescent="0.3">
      <c r="A3" s="23" t="s">
        <v>41</v>
      </c>
      <c r="B3" s="24" t="s">
        <v>57</v>
      </c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</row>
    <row r="4" spans="1:24" x14ac:dyDescent="0.3">
      <c r="A4" s="23" t="s">
        <v>53</v>
      </c>
      <c r="B4" s="24" t="s">
        <v>58</v>
      </c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</row>
    <row r="5" spans="1:24" x14ac:dyDescent="0.3">
      <c r="A5" s="23" t="s">
        <v>54</v>
      </c>
      <c r="B5" s="24" t="s">
        <v>59</v>
      </c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</row>
    <row r="6" spans="1:24" x14ac:dyDescent="0.3">
      <c r="A6" s="23" t="s">
        <v>55</v>
      </c>
      <c r="B6" s="24" t="s">
        <v>60</v>
      </c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</row>
    <row r="7" spans="1:24" x14ac:dyDescent="0.3">
      <c r="A7" s="23" t="s">
        <v>56</v>
      </c>
      <c r="B7" s="24" t="s">
        <v>61</v>
      </c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</row>
    <row r="8" spans="1:24" x14ac:dyDescent="0.3">
      <c r="A8" s="23" t="s">
        <v>67</v>
      </c>
      <c r="B8" s="24" t="s">
        <v>68</v>
      </c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</row>
    <row r="9" spans="1:24" x14ac:dyDescent="0.3">
      <c r="A9" s="23"/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</row>
    <row r="10" spans="1:24" x14ac:dyDescent="0.3">
      <c r="A10" s="23"/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</row>
    <row r="11" spans="1:24" x14ac:dyDescent="0.3">
      <c r="A11" s="23"/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</row>
    <row r="12" spans="1:24" x14ac:dyDescent="0.3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</row>
    <row r="13" spans="1:24" x14ac:dyDescent="0.3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</row>
    <row r="14" spans="1:24" x14ac:dyDescent="0.3">
      <c r="A14" s="23"/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</row>
    <row r="15" spans="1:24" x14ac:dyDescent="0.3">
      <c r="A15" s="23"/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</row>
    <row r="16" spans="1:24" x14ac:dyDescent="0.3">
      <c r="A16" s="23"/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</row>
    <row r="17" spans="1:24" x14ac:dyDescent="0.3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</row>
    <row r="18" spans="1:24" x14ac:dyDescent="0.3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</row>
    <row r="19" spans="1:24" x14ac:dyDescent="0.3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</row>
    <row r="20" spans="1:24" x14ac:dyDescent="0.3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</row>
    <row r="21" spans="1:24" x14ac:dyDescent="0.3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</row>
    <row r="22" spans="1:24" x14ac:dyDescent="0.3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</row>
    <row r="23" spans="1:24" x14ac:dyDescent="0.3">
      <c r="A23" s="23"/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</row>
    <row r="24" spans="1:24" x14ac:dyDescent="0.3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</row>
    <row r="25" spans="1:24" x14ac:dyDescent="0.3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</row>
    <row r="26" spans="1:24" x14ac:dyDescent="0.3">
      <c r="A26" s="23"/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</row>
    <row r="27" spans="1:24" x14ac:dyDescent="0.3">
      <c r="A27" s="23"/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</row>
    <row r="28" spans="1:24" x14ac:dyDescent="0.3">
      <c r="A28" s="23"/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</row>
    <row r="29" spans="1:24" x14ac:dyDescent="0.3">
      <c r="A29" s="23"/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</row>
    <row r="30" spans="1:24" x14ac:dyDescent="0.3">
      <c r="A30" s="23"/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</row>
    <row r="31" spans="1:24" x14ac:dyDescent="0.3">
      <c r="A31" s="23"/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</row>
    <row r="32" spans="1:24" x14ac:dyDescent="0.3">
      <c r="A32" s="23"/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E49AB0-8F73-4966-B193-E56D037FAB20}">
  <sheetPr codeName="Sheet4"/>
  <dimension ref="A1:AD58"/>
  <sheetViews>
    <sheetView workbookViewId="0">
      <selection activeCell="A6" sqref="A6"/>
    </sheetView>
  </sheetViews>
  <sheetFormatPr defaultRowHeight="14.4" x14ac:dyDescent="0.3"/>
  <cols>
    <col min="1" max="16384" width="8.88671875" style="12"/>
  </cols>
  <sheetData>
    <row r="1" spans="1:30" x14ac:dyDescent="0.3">
      <c r="A1" s="58" t="s">
        <v>30</v>
      </c>
      <c r="B1" s="58"/>
      <c r="C1" s="58"/>
      <c r="D1" s="58"/>
      <c r="E1" s="58"/>
      <c r="F1" s="58"/>
      <c r="G1" s="58"/>
      <c r="H1" s="58"/>
      <c r="I1" s="58"/>
      <c r="J1" s="58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</row>
    <row r="2" spans="1:30" x14ac:dyDescent="0.3">
      <c r="A2" s="58"/>
      <c r="B2" s="58"/>
      <c r="C2" s="58"/>
      <c r="D2" s="58"/>
      <c r="E2" s="58"/>
      <c r="F2" s="58"/>
      <c r="G2" s="58"/>
      <c r="H2" s="58"/>
      <c r="I2" s="58"/>
      <c r="J2" s="58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</row>
    <row r="3" spans="1:30" x14ac:dyDescent="0.3">
      <c r="A3" s="15" t="s">
        <v>39</v>
      </c>
      <c r="B3" s="15" t="s">
        <v>40</v>
      </c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</row>
    <row r="4" spans="1:30" x14ac:dyDescent="0.3">
      <c r="A4" s="15" t="s">
        <v>41</v>
      </c>
      <c r="B4" s="15" t="s">
        <v>42</v>
      </c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</row>
    <row r="5" spans="1:30" x14ac:dyDescent="0.3">
      <c r="A5" s="15" t="s">
        <v>53</v>
      </c>
      <c r="B5" s="15" t="s">
        <v>69</v>
      </c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</row>
    <row r="6" spans="1:30" x14ac:dyDescent="0.3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</row>
    <row r="7" spans="1:30" x14ac:dyDescent="0.3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</row>
    <row r="8" spans="1:30" x14ac:dyDescent="0.3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</row>
    <row r="9" spans="1:30" x14ac:dyDescent="0.3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</row>
    <row r="10" spans="1:30" x14ac:dyDescent="0.3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</row>
    <row r="11" spans="1:30" x14ac:dyDescent="0.3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</row>
    <row r="12" spans="1:30" x14ac:dyDescent="0.3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</row>
    <row r="13" spans="1:30" x14ac:dyDescent="0.3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</row>
    <row r="14" spans="1:30" x14ac:dyDescent="0.3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</row>
    <row r="15" spans="1:30" x14ac:dyDescent="0.3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</row>
    <row r="16" spans="1:30" x14ac:dyDescent="0.3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</row>
    <row r="17" spans="1:30" x14ac:dyDescent="0.3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</row>
    <row r="18" spans="1:30" x14ac:dyDescent="0.3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</row>
    <row r="19" spans="1:30" x14ac:dyDescent="0.3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</row>
    <row r="20" spans="1:30" x14ac:dyDescent="0.3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</row>
    <row r="21" spans="1:30" x14ac:dyDescent="0.3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</row>
    <row r="22" spans="1:30" x14ac:dyDescent="0.3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</row>
    <row r="23" spans="1:30" x14ac:dyDescent="0.3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</row>
    <row r="24" spans="1:30" x14ac:dyDescent="0.3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</row>
    <row r="25" spans="1:30" x14ac:dyDescent="0.3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</row>
    <row r="26" spans="1:30" x14ac:dyDescent="0.3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</row>
    <row r="27" spans="1:30" x14ac:dyDescent="0.3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</row>
    <row r="28" spans="1:30" x14ac:dyDescent="0.3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</row>
    <row r="29" spans="1:30" x14ac:dyDescent="0.3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</row>
    <row r="30" spans="1:30" x14ac:dyDescent="0.3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</row>
    <row r="31" spans="1:30" x14ac:dyDescent="0.3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</row>
    <row r="32" spans="1:30" x14ac:dyDescent="0.3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</row>
    <row r="33" spans="1:30" x14ac:dyDescent="0.3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</row>
    <row r="34" spans="1:30" x14ac:dyDescent="0.3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</row>
    <row r="35" spans="1:30" x14ac:dyDescent="0.3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</row>
    <row r="36" spans="1:30" x14ac:dyDescent="0.3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</row>
    <row r="37" spans="1:30" x14ac:dyDescent="0.3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</row>
    <row r="38" spans="1:30" x14ac:dyDescent="0.3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</row>
    <row r="39" spans="1:30" x14ac:dyDescent="0.3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</row>
    <row r="40" spans="1:30" x14ac:dyDescent="0.3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</row>
    <row r="41" spans="1:30" x14ac:dyDescent="0.3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</row>
    <row r="42" spans="1:30" x14ac:dyDescent="0.3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</row>
    <row r="43" spans="1:30" x14ac:dyDescent="0.3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</row>
    <row r="44" spans="1:30" x14ac:dyDescent="0.3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</row>
    <row r="45" spans="1:30" x14ac:dyDescent="0.3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</row>
    <row r="46" spans="1:30" x14ac:dyDescent="0.3">
      <c r="A46" s="15"/>
      <c r="B46" s="15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</row>
    <row r="47" spans="1:30" x14ac:dyDescent="0.3">
      <c r="A47" s="15"/>
      <c r="B47" s="15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</row>
    <row r="48" spans="1:30" x14ac:dyDescent="0.3">
      <c r="A48" s="15"/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</row>
    <row r="49" spans="1:30" x14ac:dyDescent="0.3">
      <c r="A49" s="15"/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</row>
    <row r="50" spans="1:30" x14ac:dyDescent="0.3">
      <c r="A50" s="15"/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</row>
    <row r="51" spans="1:30" x14ac:dyDescent="0.3">
      <c r="A51" s="15"/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</row>
    <row r="52" spans="1:30" x14ac:dyDescent="0.3">
      <c r="A52" s="15"/>
      <c r="B52" s="15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</row>
    <row r="53" spans="1:30" x14ac:dyDescent="0.3">
      <c r="A53" s="15"/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</row>
    <row r="54" spans="1:30" x14ac:dyDescent="0.3">
      <c r="A54" s="15"/>
      <c r="B54" s="15"/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</row>
    <row r="55" spans="1:30" x14ac:dyDescent="0.3">
      <c r="A55" s="15"/>
      <c r="B55" s="15"/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</row>
    <row r="56" spans="1:30" x14ac:dyDescent="0.3">
      <c r="A56" s="15"/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</row>
    <row r="57" spans="1:30" x14ac:dyDescent="0.3">
      <c r="A57" s="15"/>
      <c r="B57" s="15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  <c r="AD57" s="15"/>
    </row>
    <row r="58" spans="1:30" x14ac:dyDescent="0.3">
      <c r="A58" s="15"/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  <c r="AC58" s="15"/>
      <c r="AD58" s="15"/>
    </row>
  </sheetData>
  <mergeCells count="1">
    <mergeCell ref="A1:J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C4224-A817-4FC9-A016-66FE8651B4D7}">
  <sheetPr codeName="Sheet5"/>
  <dimension ref="A1:V150"/>
  <sheetViews>
    <sheetView zoomScale="90" zoomScaleNormal="90" workbookViewId="0">
      <selection activeCell="T7" sqref="T7"/>
    </sheetView>
  </sheetViews>
  <sheetFormatPr defaultRowHeight="14.4" x14ac:dyDescent="0.3"/>
  <cols>
    <col min="3" max="3" width="8.88671875" style="17"/>
    <col min="4" max="4" width="9.33203125" style="17" customWidth="1"/>
    <col min="10" max="10" width="14.88671875" bestFit="1" customWidth="1"/>
    <col min="14" max="16" width="8.88671875" style="1"/>
    <col min="17" max="17" width="8.88671875" style="21"/>
    <col min="18" max="18" width="9.21875" style="26" customWidth="1"/>
    <col min="22" max="22" width="12.77734375" bestFit="1" customWidth="1"/>
  </cols>
  <sheetData>
    <row r="1" spans="1:22" ht="15.6" x14ac:dyDescent="0.3">
      <c r="A1" s="59" t="s">
        <v>13</v>
      </c>
      <c r="B1" s="60"/>
      <c r="C1" s="18" t="s">
        <v>15</v>
      </c>
      <c r="D1" s="18" t="s">
        <v>50</v>
      </c>
      <c r="F1" s="2" t="s">
        <v>19</v>
      </c>
      <c r="G1" s="2" t="s">
        <v>18</v>
      </c>
      <c r="H1" s="2" t="s">
        <v>27</v>
      </c>
      <c r="J1" s="15" t="s">
        <v>51</v>
      </c>
      <c r="N1" s="65" t="s">
        <v>14</v>
      </c>
      <c r="O1" s="66"/>
      <c r="P1" s="67"/>
      <c r="Q1" s="19" t="s">
        <v>28</v>
      </c>
      <c r="R1" s="25" t="s">
        <v>62</v>
      </c>
      <c r="T1" s="36" t="s">
        <v>71</v>
      </c>
      <c r="U1" s="37" t="s">
        <v>24</v>
      </c>
      <c r="V1" s="35" t="s">
        <v>70</v>
      </c>
    </row>
    <row r="2" spans="1:22" ht="15.6" customHeight="1" x14ac:dyDescent="0.3">
      <c r="A2" s="61"/>
      <c r="B2" s="62"/>
      <c r="C2" s="31"/>
      <c r="D2" s="31"/>
      <c r="F2" s="2"/>
      <c r="G2" s="3"/>
      <c r="H2" s="2"/>
      <c r="J2" s="22"/>
      <c r="N2" s="68"/>
      <c r="O2" s="69"/>
      <c r="P2" s="70"/>
      <c r="Q2" s="20" t="e">
        <f>(($T$2*$F$2*EXP(-$G$2*(C2-$H$2))*$G$2*($F$2-$T$2)))/((EXP(-$G$2*(C2-$H$2))*($F$2-$T$2)+$T$2)^2)</f>
        <v>#DIV/0!</v>
      </c>
      <c r="R2" s="26" t="e">
        <f>($F$2*$T$2)/(($F$2-$T$2)*EXP(-$G$2*(C2-$H$2))+$T$2)</f>
        <v>#DIV/0!</v>
      </c>
      <c r="T2" s="36" t="e">
        <f>F2/2*(1+SQRT(1-(4*J2)/(F2*G2)))</f>
        <v>#DIV/0!</v>
      </c>
      <c r="U2" s="37" t="e">
        <f>SUM((Q2:Q50-D2:D50)^2)/SUM((D2:D50)^2)</f>
        <v>#DIV/0!</v>
      </c>
      <c r="V2" s="34" t="e">
        <f>VLOOKUP(MAX(Q:Q),C:C,1,TRUE)</f>
        <v>#DIV/0!</v>
      </c>
    </row>
    <row r="3" spans="1:22" x14ac:dyDescent="0.3">
      <c r="A3" s="61"/>
      <c r="B3" s="62"/>
      <c r="C3" s="31"/>
      <c r="D3" s="31"/>
      <c r="N3" s="68"/>
      <c r="O3" s="69"/>
      <c r="P3" s="70"/>
      <c r="Q3" s="20"/>
    </row>
    <row r="4" spans="1:22" x14ac:dyDescent="0.3">
      <c r="A4" s="61"/>
      <c r="B4" s="62"/>
      <c r="C4" s="31"/>
      <c r="D4" s="31"/>
      <c r="F4" t="s">
        <v>16</v>
      </c>
      <c r="N4" s="68"/>
      <c r="O4" s="69"/>
      <c r="P4" s="70"/>
      <c r="Q4" s="20"/>
      <c r="T4" t="s">
        <v>25</v>
      </c>
    </row>
    <row r="5" spans="1:22" x14ac:dyDescent="0.3">
      <c r="A5" s="61"/>
      <c r="B5" s="62"/>
      <c r="C5" s="31"/>
      <c r="D5" s="31"/>
      <c r="N5" s="68"/>
      <c r="O5" s="69"/>
      <c r="P5" s="70"/>
      <c r="Q5" s="20"/>
      <c r="T5" t="s">
        <v>26</v>
      </c>
    </row>
    <row r="6" spans="1:22" x14ac:dyDescent="0.3">
      <c r="A6" s="61"/>
      <c r="B6" s="62"/>
      <c r="C6" s="31"/>
      <c r="D6" s="31"/>
      <c r="F6" t="s">
        <v>17</v>
      </c>
      <c r="N6" s="68"/>
      <c r="O6" s="69"/>
      <c r="P6" s="70"/>
      <c r="Q6" s="20"/>
      <c r="T6" t="s">
        <v>73</v>
      </c>
    </row>
    <row r="7" spans="1:22" x14ac:dyDescent="0.3">
      <c r="A7" s="61"/>
      <c r="B7" s="62"/>
      <c r="C7" s="31"/>
      <c r="D7" s="31"/>
      <c r="N7" s="68"/>
      <c r="O7" s="69"/>
      <c r="P7" s="70"/>
      <c r="Q7" s="20"/>
    </row>
    <row r="8" spans="1:22" x14ac:dyDescent="0.3">
      <c r="A8" s="61"/>
      <c r="B8" s="62"/>
      <c r="C8" s="31"/>
      <c r="D8" s="31"/>
      <c r="F8" t="s">
        <v>22</v>
      </c>
      <c r="N8" s="68"/>
      <c r="O8" s="69"/>
      <c r="P8" s="70"/>
      <c r="Q8" s="20"/>
    </row>
    <row r="9" spans="1:22" x14ac:dyDescent="0.3">
      <c r="A9" s="61"/>
      <c r="B9" s="62"/>
      <c r="C9" s="31"/>
      <c r="D9" s="31"/>
      <c r="F9" t="s">
        <v>20</v>
      </c>
      <c r="N9" s="68"/>
      <c r="O9" s="69"/>
      <c r="P9" s="70"/>
      <c r="Q9" s="20"/>
    </row>
    <row r="10" spans="1:22" x14ac:dyDescent="0.3">
      <c r="A10" s="61"/>
      <c r="B10" s="62"/>
      <c r="C10" s="31"/>
      <c r="D10" s="31"/>
      <c r="F10" t="s">
        <v>21</v>
      </c>
      <c r="N10" s="68"/>
      <c r="O10" s="69"/>
      <c r="P10" s="70"/>
      <c r="Q10" s="20"/>
    </row>
    <row r="11" spans="1:22" x14ac:dyDescent="0.3">
      <c r="A11" s="61"/>
      <c r="B11" s="62"/>
      <c r="C11" s="31"/>
      <c r="D11" s="31"/>
      <c r="N11" s="68"/>
      <c r="O11" s="69"/>
      <c r="P11" s="70"/>
      <c r="Q11" s="20"/>
    </row>
    <row r="12" spans="1:22" x14ac:dyDescent="0.3">
      <c r="A12" s="61"/>
      <c r="B12" s="62"/>
      <c r="C12" s="31"/>
      <c r="D12" s="31"/>
      <c r="N12" s="68"/>
      <c r="O12" s="69"/>
      <c r="P12" s="70"/>
      <c r="Q12" s="20"/>
    </row>
    <row r="13" spans="1:22" x14ac:dyDescent="0.3">
      <c r="A13" s="61"/>
      <c r="B13" s="62"/>
      <c r="C13" s="31"/>
      <c r="D13" s="31"/>
      <c r="N13" s="68"/>
      <c r="O13" s="69"/>
      <c r="P13" s="70"/>
      <c r="Q13" s="20"/>
    </row>
    <row r="14" spans="1:22" x14ac:dyDescent="0.3">
      <c r="A14" s="61"/>
      <c r="B14" s="62"/>
      <c r="C14" s="31"/>
      <c r="D14" s="31"/>
      <c r="N14" s="68"/>
      <c r="O14" s="69"/>
      <c r="P14" s="70"/>
      <c r="Q14" s="20"/>
    </row>
    <row r="15" spans="1:22" x14ac:dyDescent="0.3">
      <c r="A15" s="61"/>
      <c r="B15" s="62"/>
      <c r="C15" s="31"/>
      <c r="D15" s="31"/>
      <c r="N15" s="68"/>
      <c r="O15" s="69"/>
      <c r="P15" s="70"/>
      <c r="Q15" s="20"/>
    </row>
    <row r="16" spans="1:22" x14ac:dyDescent="0.3">
      <c r="A16" s="61"/>
      <c r="B16" s="62"/>
      <c r="C16" s="31"/>
      <c r="D16" s="31"/>
      <c r="N16" s="68"/>
      <c r="O16" s="69"/>
      <c r="P16" s="70"/>
      <c r="Q16" s="20"/>
    </row>
    <row r="17" spans="1:17" x14ac:dyDescent="0.3">
      <c r="A17" s="61"/>
      <c r="B17" s="62"/>
      <c r="C17" s="31"/>
      <c r="D17" s="31"/>
      <c r="N17" s="68"/>
      <c r="O17" s="69"/>
      <c r="P17" s="70"/>
      <c r="Q17" s="20"/>
    </row>
    <row r="18" spans="1:17" x14ac:dyDescent="0.3">
      <c r="A18" s="61"/>
      <c r="B18" s="62"/>
      <c r="C18" s="31"/>
      <c r="D18" s="31"/>
      <c r="N18" s="68"/>
      <c r="O18" s="69"/>
      <c r="P18" s="70"/>
      <c r="Q18" s="20"/>
    </row>
    <row r="19" spans="1:17" x14ac:dyDescent="0.3">
      <c r="A19" s="61"/>
      <c r="B19" s="62"/>
      <c r="C19" s="31"/>
      <c r="D19" s="31"/>
      <c r="N19" s="68"/>
      <c r="O19" s="69"/>
      <c r="P19" s="70"/>
      <c r="Q19" s="20"/>
    </row>
    <row r="20" spans="1:17" x14ac:dyDescent="0.3">
      <c r="A20" s="61"/>
      <c r="B20" s="62"/>
      <c r="C20" s="31"/>
      <c r="D20" s="31"/>
      <c r="N20" s="68"/>
      <c r="O20" s="69"/>
      <c r="P20" s="70"/>
      <c r="Q20" s="20"/>
    </row>
    <row r="21" spans="1:17" x14ac:dyDescent="0.3">
      <c r="A21" s="61"/>
      <c r="B21" s="62"/>
      <c r="C21" s="31"/>
      <c r="D21" s="31"/>
      <c r="N21" s="68"/>
      <c r="O21" s="69"/>
      <c r="P21" s="70"/>
      <c r="Q21" s="20"/>
    </row>
    <row r="22" spans="1:17" x14ac:dyDescent="0.3">
      <c r="A22" s="61"/>
      <c r="B22" s="62"/>
      <c r="C22" s="31"/>
      <c r="D22" s="31"/>
      <c r="N22" s="68"/>
      <c r="O22" s="69"/>
      <c r="P22" s="70"/>
      <c r="Q22" s="20"/>
    </row>
    <row r="23" spans="1:17" x14ac:dyDescent="0.3">
      <c r="A23" s="61"/>
      <c r="B23" s="62"/>
      <c r="C23" s="31"/>
      <c r="D23" s="31"/>
      <c r="N23" s="68"/>
      <c r="O23" s="69"/>
      <c r="P23" s="70"/>
      <c r="Q23" s="20"/>
    </row>
    <row r="24" spans="1:17" x14ac:dyDescent="0.3">
      <c r="A24" s="61"/>
      <c r="B24" s="62"/>
      <c r="C24" s="31"/>
      <c r="D24" s="31"/>
      <c r="N24" s="68"/>
      <c r="O24" s="69"/>
      <c r="P24" s="70"/>
      <c r="Q24" s="20"/>
    </row>
    <row r="25" spans="1:17" x14ac:dyDescent="0.3">
      <c r="A25" s="61"/>
      <c r="B25" s="62"/>
      <c r="C25" s="31"/>
      <c r="D25" s="31"/>
      <c r="N25" s="68"/>
      <c r="O25" s="69"/>
      <c r="P25" s="70"/>
      <c r="Q25" s="20"/>
    </row>
    <row r="26" spans="1:17" x14ac:dyDescent="0.3">
      <c r="A26" s="61"/>
      <c r="B26" s="62"/>
      <c r="C26" s="31"/>
      <c r="D26" s="31"/>
      <c r="N26" s="68"/>
      <c r="O26" s="69"/>
      <c r="P26" s="70"/>
      <c r="Q26" s="20"/>
    </row>
    <row r="27" spans="1:17" x14ac:dyDescent="0.3">
      <c r="A27" s="61"/>
      <c r="B27" s="62"/>
      <c r="C27" s="31"/>
      <c r="D27" s="31"/>
      <c r="N27" s="68"/>
      <c r="O27" s="69"/>
      <c r="P27" s="70"/>
      <c r="Q27" s="20"/>
    </row>
    <row r="28" spans="1:17" x14ac:dyDescent="0.3">
      <c r="A28" s="61"/>
      <c r="B28" s="62"/>
      <c r="C28" s="31"/>
      <c r="D28" s="31"/>
      <c r="N28" s="68"/>
      <c r="O28" s="69"/>
      <c r="P28" s="70"/>
      <c r="Q28" s="20"/>
    </row>
    <row r="29" spans="1:17" ht="15" thickBot="1" x14ac:dyDescent="0.35">
      <c r="A29" s="63"/>
      <c r="B29" s="64"/>
      <c r="C29" s="31"/>
      <c r="D29" s="31"/>
      <c r="N29" s="71"/>
      <c r="O29" s="72"/>
      <c r="P29" s="73"/>
      <c r="Q29" s="20"/>
    </row>
    <row r="30" spans="1:17" x14ac:dyDescent="0.3">
      <c r="C30" s="31"/>
      <c r="D30" s="31"/>
      <c r="Q30" s="20"/>
    </row>
    <row r="31" spans="1:17" x14ac:dyDescent="0.3">
      <c r="C31" s="31"/>
      <c r="D31" s="31"/>
      <c r="Q31" s="20"/>
    </row>
    <row r="32" spans="1:17" x14ac:dyDescent="0.3">
      <c r="C32" s="31"/>
      <c r="D32" s="31"/>
      <c r="Q32" s="20"/>
    </row>
    <row r="33" spans="3:17" x14ac:dyDescent="0.3">
      <c r="C33" s="31"/>
      <c r="D33" s="31"/>
      <c r="Q33" s="20"/>
    </row>
    <row r="34" spans="3:17" x14ac:dyDescent="0.3">
      <c r="C34" s="31"/>
      <c r="D34" s="31"/>
      <c r="Q34" s="20"/>
    </row>
    <row r="35" spans="3:17" x14ac:dyDescent="0.3">
      <c r="C35" s="31"/>
      <c r="D35" s="31"/>
      <c r="Q35" s="20"/>
    </row>
    <row r="36" spans="3:17" x14ac:dyDescent="0.3">
      <c r="C36" s="31"/>
      <c r="D36" s="31"/>
      <c r="Q36" s="20"/>
    </row>
    <row r="37" spans="3:17" x14ac:dyDescent="0.3">
      <c r="C37" s="31"/>
      <c r="D37" s="31"/>
      <c r="Q37" s="20"/>
    </row>
    <row r="38" spans="3:17" x14ac:dyDescent="0.3">
      <c r="C38" s="31"/>
      <c r="D38" s="31"/>
      <c r="Q38" s="20"/>
    </row>
    <row r="39" spans="3:17" x14ac:dyDescent="0.3">
      <c r="C39" s="31"/>
      <c r="D39" s="31"/>
      <c r="Q39" s="20"/>
    </row>
    <row r="40" spans="3:17" x14ac:dyDescent="0.3">
      <c r="C40" s="31"/>
      <c r="D40" s="31"/>
      <c r="Q40" s="20"/>
    </row>
    <row r="41" spans="3:17" x14ac:dyDescent="0.3">
      <c r="C41" s="31"/>
      <c r="D41" s="31"/>
      <c r="Q41" s="20"/>
    </row>
    <row r="42" spans="3:17" x14ac:dyDescent="0.3">
      <c r="C42" s="31"/>
      <c r="D42" s="31"/>
      <c r="Q42" s="20"/>
    </row>
    <row r="43" spans="3:17" x14ac:dyDescent="0.3">
      <c r="C43" s="31"/>
      <c r="D43" s="31"/>
      <c r="Q43" s="20"/>
    </row>
    <row r="44" spans="3:17" x14ac:dyDescent="0.3">
      <c r="C44" s="31"/>
      <c r="D44" s="31"/>
      <c r="Q44" s="20"/>
    </row>
    <row r="45" spans="3:17" x14ac:dyDescent="0.3">
      <c r="C45" s="31"/>
      <c r="D45" s="31"/>
      <c r="Q45" s="20"/>
    </row>
    <row r="46" spans="3:17" x14ac:dyDescent="0.3">
      <c r="C46" s="31"/>
      <c r="D46" s="31"/>
      <c r="Q46" s="20"/>
    </row>
    <row r="47" spans="3:17" x14ac:dyDescent="0.3">
      <c r="C47" s="31"/>
      <c r="D47" s="31"/>
      <c r="Q47" s="20"/>
    </row>
    <row r="48" spans="3:17" x14ac:dyDescent="0.3">
      <c r="C48" s="31"/>
      <c r="D48" s="31"/>
      <c r="Q48" s="20"/>
    </row>
    <row r="49" spans="3:17" x14ac:dyDescent="0.3">
      <c r="C49" s="31"/>
      <c r="D49" s="31"/>
      <c r="Q49" s="20"/>
    </row>
    <row r="50" spans="3:17" x14ac:dyDescent="0.3">
      <c r="C50" s="31"/>
      <c r="D50" s="31"/>
      <c r="Q50" s="20"/>
    </row>
    <row r="51" spans="3:17" x14ac:dyDescent="0.3">
      <c r="C51" s="31"/>
      <c r="D51" s="31"/>
      <c r="Q51" s="20"/>
    </row>
    <row r="52" spans="3:17" x14ac:dyDescent="0.3">
      <c r="C52" s="31"/>
      <c r="D52" s="31"/>
      <c r="Q52" s="20"/>
    </row>
    <row r="53" spans="3:17" x14ac:dyDescent="0.3">
      <c r="C53" s="31"/>
      <c r="D53" s="31"/>
      <c r="Q53" s="20"/>
    </row>
    <row r="54" spans="3:17" x14ac:dyDescent="0.3">
      <c r="C54" s="31"/>
      <c r="D54" s="31"/>
      <c r="Q54" s="20"/>
    </row>
    <row r="55" spans="3:17" x14ac:dyDescent="0.3">
      <c r="C55" s="31"/>
      <c r="D55" s="31"/>
      <c r="Q55" s="20"/>
    </row>
    <row r="56" spans="3:17" x14ac:dyDescent="0.3">
      <c r="C56" s="31"/>
      <c r="D56" s="31"/>
      <c r="Q56" s="20"/>
    </row>
    <row r="57" spans="3:17" x14ac:dyDescent="0.3">
      <c r="C57" s="31"/>
      <c r="D57" s="31"/>
      <c r="Q57" s="20"/>
    </row>
    <row r="58" spans="3:17" x14ac:dyDescent="0.3">
      <c r="C58" s="31"/>
      <c r="D58" s="31"/>
      <c r="Q58" s="20"/>
    </row>
    <row r="59" spans="3:17" x14ac:dyDescent="0.3">
      <c r="C59" s="31"/>
      <c r="D59" s="31"/>
      <c r="Q59" s="20"/>
    </row>
    <row r="60" spans="3:17" x14ac:dyDescent="0.3">
      <c r="C60" s="31"/>
      <c r="D60" s="31"/>
      <c r="Q60" s="20"/>
    </row>
    <row r="61" spans="3:17" x14ac:dyDescent="0.3">
      <c r="C61" s="31"/>
      <c r="D61" s="31"/>
      <c r="Q61" s="20"/>
    </row>
    <row r="62" spans="3:17" x14ac:dyDescent="0.3">
      <c r="C62" s="31"/>
      <c r="D62" s="31"/>
      <c r="Q62" s="20"/>
    </row>
    <row r="63" spans="3:17" x14ac:dyDescent="0.3">
      <c r="C63" s="31"/>
      <c r="D63" s="31"/>
      <c r="Q63" s="20"/>
    </row>
    <row r="64" spans="3:17" x14ac:dyDescent="0.3">
      <c r="C64" s="31"/>
      <c r="D64" s="31"/>
      <c r="Q64" s="20"/>
    </row>
    <row r="65" spans="3:17" x14ac:dyDescent="0.3">
      <c r="C65" s="31"/>
      <c r="D65" s="31"/>
      <c r="Q65" s="20"/>
    </row>
    <row r="66" spans="3:17" x14ac:dyDescent="0.3">
      <c r="C66" s="31"/>
      <c r="D66" s="31"/>
      <c r="Q66" s="20"/>
    </row>
    <row r="67" spans="3:17" x14ac:dyDescent="0.3">
      <c r="C67" s="31"/>
      <c r="D67" s="31"/>
      <c r="Q67" s="20"/>
    </row>
    <row r="68" spans="3:17" x14ac:dyDescent="0.3">
      <c r="C68" s="31"/>
      <c r="D68" s="31"/>
      <c r="Q68" s="20"/>
    </row>
    <row r="69" spans="3:17" x14ac:dyDescent="0.3">
      <c r="C69" s="31"/>
      <c r="D69" s="31"/>
      <c r="Q69" s="20"/>
    </row>
    <row r="70" spans="3:17" x14ac:dyDescent="0.3">
      <c r="C70" s="31"/>
      <c r="D70" s="31"/>
      <c r="Q70" s="20"/>
    </row>
    <row r="71" spans="3:17" x14ac:dyDescent="0.3">
      <c r="C71" s="31"/>
      <c r="D71" s="31"/>
      <c r="Q71" s="20"/>
    </row>
    <row r="72" spans="3:17" x14ac:dyDescent="0.3">
      <c r="C72" s="31"/>
      <c r="D72" s="31"/>
      <c r="Q72" s="20"/>
    </row>
    <row r="73" spans="3:17" x14ac:dyDescent="0.3">
      <c r="C73" s="31"/>
      <c r="D73" s="31"/>
      <c r="Q73" s="20"/>
    </row>
    <row r="74" spans="3:17" x14ac:dyDescent="0.3">
      <c r="C74" s="31"/>
      <c r="D74" s="31"/>
      <c r="Q74" s="20"/>
    </row>
    <row r="75" spans="3:17" x14ac:dyDescent="0.3">
      <c r="C75" s="31"/>
      <c r="D75" s="31"/>
      <c r="Q75" s="20"/>
    </row>
    <row r="76" spans="3:17" x14ac:dyDescent="0.3">
      <c r="C76" s="31"/>
      <c r="D76" s="31"/>
      <c r="Q76" s="20"/>
    </row>
    <row r="77" spans="3:17" x14ac:dyDescent="0.3">
      <c r="C77" s="31"/>
      <c r="D77" s="31"/>
      <c r="Q77" s="20"/>
    </row>
    <row r="78" spans="3:17" x14ac:dyDescent="0.3">
      <c r="C78" s="31"/>
      <c r="D78" s="31"/>
      <c r="Q78" s="20"/>
    </row>
    <row r="79" spans="3:17" x14ac:dyDescent="0.3">
      <c r="C79" s="31"/>
      <c r="D79" s="31"/>
      <c r="Q79" s="20"/>
    </row>
    <row r="80" spans="3:17" x14ac:dyDescent="0.3">
      <c r="C80" s="31"/>
      <c r="D80" s="31"/>
      <c r="Q80" s="20"/>
    </row>
    <row r="81" spans="3:17" x14ac:dyDescent="0.3">
      <c r="C81" s="31"/>
      <c r="D81" s="31"/>
      <c r="Q81" s="20"/>
    </row>
    <row r="82" spans="3:17" x14ac:dyDescent="0.3">
      <c r="C82" s="31"/>
      <c r="D82" s="31"/>
      <c r="Q82" s="20"/>
    </row>
    <row r="83" spans="3:17" x14ac:dyDescent="0.3">
      <c r="Q83" s="20"/>
    </row>
    <row r="84" spans="3:17" x14ac:dyDescent="0.3">
      <c r="Q84" s="20"/>
    </row>
    <row r="85" spans="3:17" x14ac:dyDescent="0.3">
      <c r="Q85" s="20"/>
    </row>
    <row r="86" spans="3:17" x14ac:dyDescent="0.3">
      <c r="Q86" s="20"/>
    </row>
    <row r="87" spans="3:17" x14ac:dyDescent="0.3">
      <c r="Q87" s="20"/>
    </row>
    <row r="88" spans="3:17" x14ac:dyDescent="0.3">
      <c r="Q88" s="20"/>
    </row>
    <row r="89" spans="3:17" x14ac:dyDescent="0.3">
      <c r="Q89" s="20"/>
    </row>
    <row r="90" spans="3:17" x14ac:dyDescent="0.3">
      <c r="Q90" s="20"/>
    </row>
    <row r="91" spans="3:17" x14ac:dyDescent="0.3">
      <c r="Q91" s="20"/>
    </row>
    <row r="92" spans="3:17" x14ac:dyDescent="0.3">
      <c r="Q92" s="20"/>
    </row>
    <row r="93" spans="3:17" x14ac:dyDescent="0.3">
      <c r="Q93" s="20"/>
    </row>
    <row r="94" spans="3:17" x14ac:dyDescent="0.3">
      <c r="Q94" s="20"/>
    </row>
    <row r="95" spans="3:17" x14ac:dyDescent="0.3">
      <c r="Q95" s="20"/>
    </row>
    <row r="96" spans="3:17" x14ac:dyDescent="0.3">
      <c r="Q96" s="20"/>
    </row>
    <row r="97" spans="17:17" x14ac:dyDescent="0.3">
      <c r="Q97" s="20"/>
    </row>
    <row r="98" spans="17:17" x14ac:dyDescent="0.3">
      <c r="Q98" s="20"/>
    </row>
    <row r="99" spans="17:17" x14ac:dyDescent="0.3">
      <c r="Q99" s="20"/>
    </row>
    <row r="100" spans="17:17" x14ac:dyDescent="0.3">
      <c r="Q100" s="20"/>
    </row>
    <row r="101" spans="17:17" x14ac:dyDescent="0.3">
      <c r="Q101" s="20"/>
    </row>
    <row r="102" spans="17:17" x14ac:dyDescent="0.3">
      <c r="Q102" s="20"/>
    </row>
    <row r="103" spans="17:17" x14ac:dyDescent="0.3">
      <c r="Q103" s="20"/>
    </row>
    <row r="104" spans="17:17" x14ac:dyDescent="0.3">
      <c r="Q104" s="20"/>
    </row>
    <row r="105" spans="17:17" x14ac:dyDescent="0.3">
      <c r="Q105" s="20"/>
    </row>
    <row r="106" spans="17:17" x14ac:dyDescent="0.3">
      <c r="Q106" s="20"/>
    </row>
    <row r="107" spans="17:17" x14ac:dyDescent="0.3">
      <c r="Q107" s="20"/>
    </row>
    <row r="108" spans="17:17" x14ac:dyDescent="0.3">
      <c r="Q108" s="20"/>
    </row>
    <row r="109" spans="17:17" x14ac:dyDescent="0.3">
      <c r="Q109" s="20"/>
    </row>
    <row r="110" spans="17:17" x14ac:dyDescent="0.3">
      <c r="Q110" s="20"/>
    </row>
    <row r="111" spans="17:17" x14ac:dyDescent="0.3">
      <c r="Q111" s="20"/>
    </row>
    <row r="112" spans="17:17" x14ac:dyDescent="0.3">
      <c r="Q112" s="20"/>
    </row>
    <row r="113" spans="17:17" x14ac:dyDescent="0.3">
      <c r="Q113" s="20"/>
    </row>
    <row r="114" spans="17:17" x14ac:dyDescent="0.3">
      <c r="Q114" s="20"/>
    </row>
    <row r="115" spans="17:17" x14ac:dyDescent="0.3">
      <c r="Q115" s="20"/>
    </row>
    <row r="116" spans="17:17" x14ac:dyDescent="0.3">
      <c r="Q116" s="20"/>
    </row>
    <row r="117" spans="17:17" x14ac:dyDescent="0.3">
      <c r="Q117" s="20"/>
    </row>
    <row r="118" spans="17:17" x14ac:dyDescent="0.3">
      <c r="Q118" s="20"/>
    </row>
    <row r="119" spans="17:17" x14ac:dyDescent="0.3">
      <c r="Q119" s="20"/>
    </row>
    <row r="120" spans="17:17" x14ac:dyDescent="0.3">
      <c r="Q120" s="20"/>
    </row>
    <row r="121" spans="17:17" x14ac:dyDescent="0.3">
      <c r="Q121" s="20"/>
    </row>
    <row r="122" spans="17:17" x14ac:dyDescent="0.3">
      <c r="Q122" s="20"/>
    </row>
    <row r="123" spans="17:17" x14ac:dyDescent="0.3">
      <c r="Q123" s="20"/>
    </row>
    <row r="124" spans="17:17" x14ac:dyDescent="0.3">
      <c r="Q124" s="20"/>
    </row>
    <row r="125" spans="17:17" x14ac:dyDescent="0.3">
      <c r="Q125" s="20"/>
    </row>
    <row r="126" spans="17:17" x14ac:dyDescent="0.3">
      <c r="Q126" s="20"/>
    </row>
    <row r="127" spans="17:17" x14ac:dyDescent="0.3">
      <c r="Q127" s="20"/>
    </row>
    <row r="128" spans="17:17" x14ac:dyDescent="0.3">
      <c r="Q128" s="20"/>
    </row>
    <row r="129" spans="17:17" x14ac:dyDescent="0.3">
      <c r="Q129" s="20"/>
    </row>
    <row r="130" spans="17:17" x14ac:dyDescent="0.3">
      <c r="Q130" s="20"/>
    </row>
    <row r="131" spans="17:17" x14ac:dyDescent="0.3">
      <c r="Q131" s="20"/>
    </row>
    <row r="132" spans="17:17" x14ac:dyDescent="0.3">
      <c r="Q132" s="20"/>
    </row>
    <row r="133" spans="17:17" x14ac:dyDescent="0.3">
      <c r="Q133" s="20"/>
    </row>
    <row r="134" spans="17:17" x14ac:dyDescent="0.3">
      <c r="Q134" s="20"/>
    </row>
    <row r="135" spans="17:17" x14ac:dyDescent="0.3">
      <c r="Q135" s="20"/>
    </row>
    <row r="136" spans="17:17" x14ac:dyDescent="0.3">
      <c r="Q136" s="20"/>
    </row>
    <row r="137" spans="17:17" x14ac:dyDescent="0.3">
      <c r="Q137" s="20"/>
    </row>
    <row r="138" spans="17:17" x14ac:dyDescent="0.3">
      <c r="Q138" s="20"/>
    </row>
    <row r="139" spans="17:17" x14ac:dyDescent="0.3">
      <c r="Q139" s="20"/>
    </row>
    <row r="140" spans="17:17" x14ac:dyDescent="0.3">
      <c r="Q140" s="20"/>
    </row>
    <row r="141" spans="17:17" x14ac:dyDescent="0.3">
      <c r="Q141" s="20"/>
    </row>
    <row r="142" spans="17:17" x14ac:dyDescent="0.3">
      <c r="Q142" s="20"/>
    </row>
    <row r="143" spans="17:17" x14ac:dyDescent="0.3">
      <c r="Q143" s="20"/>
    </row>
    <row r="144" spans="17:17" x14ac:dyDescent="0.3">
      <c r="Q144" s="20"/>
    </row>
    <row r="145" spans="17:17" x14ac:dyDescent="0.3">
      <c r="Q145" s="20"/>
    </row>
    <row r="146" spans="17:17" x14ac:dyDescent="0.3">
      <c r="Q146" s="20"/>
    </row>
    <row r="147" spans="17:17" x14ac:dyDescent="0.3">
      <c r="Q147" s="20"/>
    </row>
    <row r="148" spans="17:17" x14ac:dyDescent="0.3">
      <c r="Q148" s="20"/>
    </row>
    <row r="149" spans="17:17" x14ac:dyDescent="0.3">
      <c r="Q149" s="20"/>
    </row>
    <row r="150" spans="17:17" x14ac:dyDescent="0.3">
      <c r="Q150" s="20"/>
    </row>
  </sheetData>
  <mergeCells count="2">
    <mergeCell ref="A1:B29"/>
    <mergeCell ref="N1:P29"/>
  </mergeCells>
  <phoneticPr fontId="11" type="noConversion"/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C943F-4959-4A2D-B44D-381CBA95A4CC}">
  <sheetPr codeName="Sheet7"/>
  <dimension ref="A1:V150"/>
  <sheetViews>
    <sheetView zoomScale="90" zoomScaleNormal="90" workbookViewId="0">
      <selection activeCell="Q3" sqref="Q3"/>
    </sheetView>
  </sheetViews>
  <sheetFormatPr defaultRowHeight="14.4" x14ac:dyDescent="0.3"/>
  <cols>
    <col min="3" max="3" width="8.88671875" style="17"/>
    <col min="4" max="4" width="9.33203125" style="17" customWidth="1"/>
    <col min="10" max="10" width="14.88671875" bestFit="1" customWidth="1"/>
    <col min="14" max="16" width="8.88671875" style="1"/>
    <col min="17" max="17" width="8.88671875" style="21"/>
    <col min="18" max="18" width="9.21875" style="26" customWidth="1"/>
    <col min="19" max="19" width="9.88671875" bestFit="1" customWidth="1"/>
    <col min="20" max="20" width="13.33203125" bestFit="1" customWidth="1"/>
  </cols>
  <sheetData>
    <row r="1" spans="1:22" ht="15.6" x14ac:dyDescent="0.3">
      <c r="A1" s="59" t="s">
        <v>13</v>
      </c>
      <c r="B1" s="60"/>
      <c r="C1" s="18" t="s">
        <v>15</v>
      </c>
      <c r="D1" s="18" t="s">
        <v>50</v>
      </c>
      <c r="F1" s="2" t="s">
        <v>19</v>
      </c>
      <c r="G1" s="2" t="s">
        <v>18</v>
      </c>
      <c r="H1" s="2" t="s">
        <v>27</v>
      </c>
      <c r="J1" s="15" t="s">
        <v>51</v>
      </c>
      <c r="N1" s="65" t="s">
        <v>14</v>
      </c>
      <c r="O1" s="66"/>
      <c r="P1" s="67"/>
      <c r="Q1" s="19" t="s">
        <v>28</v>
      </c>
      <c r="R1" s="25" t="s">
        <v>62</v>
      </c>
      <c r="T1" s="5" t="s">
        <v>23</v>
      </c>
      <c r="U1" s="5" t="s">
        <v>24</v>
      </c>
    </row>
    <row r="2" spans="1:22" ht="15.6" customHeight="1" x14ac:dyDescent="0.3">
      <c r="A2" s="61"/>
      <c r="B2" s="74"/>
      <c r="C2" s="4">
        <v>1990</v>
      </c>
      <c r="D2" s="2">
        <v>5998.25</v>
      </c>
      <c r="F2" s="28">
        <v>1E+16</v>
      </c>
      <c r="G2" s="27">
        <v>3.2620886451853924E-2</v>
      </c>
      <c r="H2">
        <f>C22</f>
        <v>2018</v>
      </c>
      <c r="J2" s="22">
        <f>D22</f>
        <v>14601.3452</v>
      </c>
      <c r="N2" s="68"/>
      <c r="O2" s="69"/>
      <c r="P2" s="70"/>
      <c r="Q2" s="29">
        <f>(($T$2*$F$2*EXP(-$G$2*(C2-$H$2))*$G$2*($F$2-$T$2)))/((EXP(-$G$2*(C2-$H$2))*($F$2-$T$2)+$T$2)^2)</f>
        <v>5857.5382379421726</v>
      </c>
      <c r="R2" s="26">
        <f t="shared" ref="R2:R22" si="0">($F$2*$T$2)/(($F$2-$T$2)*EXP(-$G$2*(C2-$H$2))+$T$2)</f>
        <v>179564.04240248521</v>
      </c>
      <c r="S2" s="28"/>
      <c r="T2" s="30">
        <f>F2/2*(1-SQRT(1-(4*J2)/(F2*G2)))</f>
        <v>447607.50661509973</v>
      </c>
      <c r="U2" s="5">
        <f>SUM((Q2:Q50-D2:D50)^2)/SUM((D2:D50)^2)</f>
        <v>5.5031541443835788E-4</v>
      </c>
    </row>
    <row r="3" spans="1:22" x14ac:dyDescent="0.3">
      <c r="A3" s="61"/>
      <c r="B3" s="74"/>
      <c r="C3" s="4">
        <v>1995</v>
      </c>
      <c r="D3" s="2">
        <v>7080.1100000000006</v>
      </c>
      <c r="N3" s="68"/>
      <c r="O3" s="69"/>
      <c r="P3" s="70"/>
      <c r="Q3" s="20">
        <f t="shared" ref="Q2:Q22" si="1">(($T$2*$F$2*EXP(-$G$2*(C3-$H$2))*$G$2*($F$2-$T$2)))/((EXP(-$G$2*(C3-$H$2))*($F$2-$T$2)+$T$2)^2)</f>
        <v>6895.257466983865</v>
      </c>
      <c r="R3" s="26">
        <f t="shared" si="0"/>
        <v>211375.53932835383</v>
      </c>
      <c r="S3" s="28"/>
      <c r="V3" t="s">
        <v>25</v>
      </c>
    </row>
    <row r="4" spans="1:22" x14ac:dyDescent="0.3">
      <c r="A4" s="61"/>
      <c r="B4" s="74"/>
      <c r="C4" s="4">
        <v>2000</v>
      </c>
      <c r="D4" s="2">
        <v>8384.7999999999993</v>
      </c>
      <c r="F4" t="s">
        <v>16</v>
      </c>
      <c r="N4" s="68"/>
      <c r="O4" s="69"/>
      <c r="P4" s="70"/>
      <c r="Q4" s="20">
        <f t="shared" si="1"/>
        <v>8116.8186368760562</v>
      </c>
      <c r="R4" s="26">
        <f t="shared" si="0"/>
        <v>248822.74885625378</v>
      </c>
      <c r="S4" s="28"/>
      <c r="V4" t="s">
        <v>26</v>
      </c>
    </row>
    <row r="5" spans="1:22" x14ac:dyDescent="0.3">
      <c r="A5" s="61"/>
      <c r="B5" s="74"/>
      <c r="C5" s="4">
        <v>2001</v>
      </c>
      <c r="D5" s="2">
        <v>8703.7999999999993</v>
      </c>
      <c r="N5" s="68"/>
      <c r="O5" s="69"/>
      <c r="P5" s="70"/>
      <c r="Q5" s="20">
        <f t="shared" si="1"/>
        <v>8385.9624443552602</v>
      </c>
      <c r="R5" s="26">
        <f t="shared" si="0"/>
        <v>257073.40776737986</v>
      </c>
      <c r="S5" s="28"/>
      <c r="T5" t="s">
        <v>63</v>
      </c>
    </row>
    <row r="6" spans="1:22" x14ac:dyDescent="0.3">
      <c r="A6" s="61"/>
      <c r="B6" s="74"/>
      <c r="C6" s="4">
        <v>2002</v>
      </c>
      <c r="D6" s="2">
        <v>8886</v>
      </c>
      <c r="F6" t="s">
        <v>17</v>
      </c>
      <c r="N6" s="68"/>
      <c r="O6" s="69"/>
      <c r="P6" s="70"/>
      <c r="Q6" s="20">
        <f t="shared" si="1"/>
        <v>8664.0307322671651</v>
      </c>
      <c r="R6" s="26">
        <f t="shared" si="0"/>
        <v>265597.64846625988</v>
      </c>
      <c r="S6" s="28"/>
      <c r="T6" s="33">
        <f>VLOOKUP(MAX(Q:Q),C:C,1,TRUE)</f>
        <v>2045</v>
      </c>
    </row>
    <row r="7" spans="1:22" x14ac:dyDescent="0.3">
      <c r="A7" s="61"/>
      <c r="B7" s="74"/>
      <c r="C7" s="4">
        <v>2003</v>
      </c>
      <c r="D7" s="2">
        <v>9098.9</v>
      </c>
      <c r="N7" s="68"/>
      <c r="O7" s="69"/>
      <c r="P7" s="70"/>
      <c r="Q7" s="20">
        <f t="shared" si="1"/>
        <v>8951.3194254993941</v>
      </c>
      <c r="R7" s="26">
        <f t="shared" si="0"/>
        <v>274404.5425913402</v>
      </c>
      <c r="S7" s="28"/>
    </row>
    <row r="8" spans="1:22" x14ac:dyDescent="0.3">
      <c r="A8" s="61"/>
      <c r="B8" s="74"/>
      <c r="C8" s="4">
        <v>2004</v>
      </c>
      <c r="D8" s="2">
        <v>9156.1</v>
      </c>
      <c r="F8" t="s">
        <v>22</v>
      </c>
      <c r="N8" s="68"/>
      <c r="O8" s="69"/>
      <c r="P8" s="70"/>
      <c r="Q8" s="20">
        <f t="shared" si="1"/>
        <v>9248.1342614479763</v>
      </c>
      <c r="R8" s="26">
        <f t="shared" si="0"/>
        <v>283503.46258553531</v>
      </c>
      <c r="S8" s="28"/>
    </row>
    <row r="9" spans="1:22" x14ac:dyDescent="0.3">
      <c r="A9" s="61"/>
      <c r="B9" s="74"/>
      <c r="C9" s="4">
        <v>2005</v>
      </c>
      <c r="D9" s="2">
        <v>9408.1</v>
      </c>
      <c r="F9" t="s">
        <v>20</v>
      </c>
      <c r="N9" s="68"/>
      <c r="O9" s="69"/>
      <c r="P9" s="70"/>
      <c r="Q9" s="20">
        <f t="shared" si="1"/>
        <v>9554.7911153881232</v>
      </c>
      <c r="R9" s="26">
        <f t="shared" si="0"/>
        <v>292904.09167053661</v>
      </c>
      <c r="S9" s="28"/>
    </row>
    <row r="10" spans="1:22" x14ac:dyDescent="0.3">
      <c r="A10" s="61"/>
      <c r="B10" s="74"/>
      <c r="C10" s="4">
        <v>2006</v>
      </c>
      <c r="D10" s="2">
        <v>9689.2000000000007</v>
      </c>
      <c r="F10" t="s">
        <v>21</v>
      </c>
      <c r="N10" s="68"/>
      <c r="O10" s="69"/>
      <c r="P10" s="70"/>
      <c r="Q10" s="20">
        <f t="shared" si="1"/>
        <v>9871.6163366339661</v>
      </c>
      <c r="R10" s="26">
        <f t="shared" si="0"/>
        <v>302616.43415185815</v>
      </c>
      <c r="S10" s="28"/>
    </row>
    <row r="11" spans="1:22" x14ac:dyDescent="0.3">
      <c r="A11" s="61"/>
      <c r="B11" s="74"/>
      <c r="C11" s="4">
        <v>2007</v>
      </c>
      <c r="D11" s="2">
        <v>10041.200000000001</v>
      </c>
      <c r="N11" s="68"/>
      <c r="O11" s="69"/>
      <c r="P11" s="70"/>
      <c r="Q11" s="20">
        <f t="shared" si="1"/>
        <v>10198.947095844893</v>
      </c>
      <c r="R11" s="26">
        <f t="shared" si="0"/>
        <v>312650.82606558455</v>
      </c>
      <c r="S11" s="28"/>
    </row>
    <row r="12" spans="1:22" ht="14.4" customHeight="1" thickBot="1" x14ac:dyDescent="0.35">
      <c r="A12" s="61"/>
      <c r="B12" s="74"/>
      <c r="C12" s="4">
        <v>2008</v>
      </c>
      <c r="D12" s="2">
        <v>10358.299999999999</v>
      </c>
      <c r="N12" s="68"/>
      <c r="O12" s="69"/>
      <c r="P12" s="70"/>
      <c r="Q12" s="20">
        <f t="shared" si="1"/>
        <v>10537.131743848184</v>
      </c>
      <c r="R12" s="26">
        <f t="shared" si="0"/>
        <v>323017.94617815176</v>
      </c>
      <c r="S12" s="28"/>
    </row>
    <row r="13" spans="1:22" x14ac:dyDescent="0.3">
      <c r="A13" s="61"/>
      <c r="B13" s="74"/>
      <c r="C13" s="4">
        <v>2009</v>
      </c>
      <c r="D13" s="2">
        <v>10829.7</v>
      </c>
      <c r="G13" s="76" t="s">
        <v>64</v>
      </c>
      <c r="H13" s="77"/>
      <c r="I13" s="77"/>
      <c r="J13" s="77"/>
      <c r="K13" s="78"/>
      <c r="N13" s="68"/>
      <c r="O13" s="69"/>
      <c r="P13" s="70"/>
      <c r="Q13" s="20">
        <f t="shared" si="1"/>
        <v>10886.53018235972</v>
      </c>
      <c r="R13" s="26">
        <f t="shared" si="0"/>
        <v>333728.8273508682</v>
      </c>
      <c r="S13" s="28"/>
    </row>
    <row r="14" spans="1:22" x14ac:dyDescent="0.3">
      <c r="A14" s="61"/>
      <c r="B14" s="74"/>
      <c r="C14" s="4">
        <v>2010</v>
      </c>
      <c r="D14" s="2">
        <v>11091</v>
      </c>
      <c r="G14" s="79"/>
      <c r="H14" s="80"/>
      <c r="I14" s="80"/>
      <c r="J14" s="80"/>
      <c r="K14" s="81"/>
      <c r="N14" s="68"/>
      <c r="O14" s="69"/>
      <c r="P14" s="70"/>
      <c r="Q14" s="20">
        <f t="shared" si="1"/>
        <v>11247.514246997373</v>
      </c>
      <c r="R14" s="26">
        <f t="shared" si="0"/>
        <v>344794.86828126817</v>
      </c>
      <c r="S14" s="28"/>
    </row>
    <row r="15" spans="1:22" ht="15" thickBot="1" x14ac:dyDescent="0.35">
      <c r="A15" s="61"/>
      <c r="B15" s="74"/>
      <c r="C15" s="4">
        <v>2011</v>
      </c>
      <c r="D15" s="2">
        <v>11178.8</v>
      </c>
      <c r="G15" s="82"/>
      <c r="H15" s="83"/>
      <c r="I15" s="83"/>
      <c r="J15" s="83"/>
      <c r="K15" s="84"/>
      <c r="N15" s="68"/>
      <c r="O15" s="69"/>
      <c r="P15" s="70"/>
      <c r="Q15" s="20">
        <f t="shared" si="1"/>
        <v>11620.468102994642</v>
      </c>
      <c r="R15" s="26">
        <f t="shared" si="0"/>
        <v>356227.84563379572</v>
      </c>
      <c r="S15" s="28"/>
    </row>
    <row r="16" spans="1:22" x14ac:dyDescent="0.3">
      <c r="A16" s="61"/>
      <c r="B16" s="74"/>
      <c r="C16" s="4">
        <v>2012</v>
      </c>
      <c r="D16" s="2">
        <v>11613.7</v>
      </c>
      <c r="N16" s="68"/>
      <c r="O16" s="69"/>
      <c r="P16" s="70"/>
      <c r="Q16" s="20">
        <f t="shared" si="1"/>
        <v>12005.788654035674</v>
      </c>
      <c r="R16" s="26">
        <f t="shared" si="0"/>
        <v>368039.92657272564</v>
      </c>
      <c r="S16" s="28"/>
    </row>
    <row r="17" spans="1:19" x14ac:dyDescent="0.3">
      <c r="A17" s="61"/>
      <c r="B17" s="74"/>
      <c r="C17" s="4">
        <v>2013</v>
      </c>
      <c r="D17" s="2">
        <v>11889</v>
      </c>
      <c r="N17" s="68"/>
      <c r="O17" s="69"/>
      <c r="P17" s="70"/>
      <c r="Q17" s="20">
        <f t="shared" si="1"/>
        <v>12403.885964646752</v>
      </c>
      <c r="R17" s="26">
        <f t="shared" si="0"/>
        <v>380243.68171066244</v>
      </c>
      <c r="S17" s="28"/>
    </row>
    <row r="18" spans="1:19" x14ac:dyDescent="0.3">
      <c r="A18" s="61"/>
      <c r="B18" s="74"/>
      <c r="C18" s="4">
        <v>2014</v>
      </c>
      <c r="D18" s="2">
        <v>12451.5</v>
      </c>
      <c r="N18" s="68"/>
      <c r="O18" s="69"/>
      <c r="P18" s="70"/>
      <c r="Q18" s="20">
        <f t="shared" si="1"/>
        <v>12815.183696593755</v>
      </c>
      <c r="R18" s="26">
        <f t="shared" si="0"/>
        <v>392852.09848639421</v>
      </c>
      <c r="S18" s="28"/>
    </row>
    <row r="19" spans="1:19" x14ac:dyDescent="0.3">
      <c r="A19" s="61"/>
      <c r="B19" s="74"/>
      <c r="C19" s="4">
        <v>2015</v>
      </c>
      <c r="D19" s="2">
        <v>13125.8</v>
      </c>
      <c r="N19" s="68"/>
      <c r="O19" s="69"/>
      <c r="P19" s="70"/>
      <c r="Q19" s="20">
        <f t="shared" si="1"/>
        <v>13240.119559750046</v>
      </c>
      <c r="R19" s="26">
        <f t="shared" si="0"/>
        <v>405878.59498634096</v>
      </c>
      <c r="S19" s="28"/>
    </row>
    <row r="20" spans="1:19" x14ac:dyDescent="0.3">
      <c r="A20" s="61"/>
      <c r="B20" s="74"/>
      <c r="C20" s="4">
        <v>2016</v>
      </c>
      <c r="D20" s="2">
        <v>13568.300000000001</v>
      </c>
      <c r="N20" s="68"/>
      <c r="O20" s="69"/>
      <c r="P20" s="70"/>
      <c r="Q20" s="20">
        <f t="shared" si="1"/>
        <v>13679.145777914613</v>
      </c>
      <c r="R20" s="26">
        <f t="shared" si="0"/>
        <v>419337.03422430489</v>
      </c>
      <c r="S20" s="28"/>
    </row>
    <row r="21" spans="1:19" x14ac:dyDescent="0.3">
      <c r="A21" s="61"/>
      <c r="B21" s="74"/>
      <c r="C21" s="4">
        <v>2017</v>
      </c>
      <c r="D21" s="2">
        <v>14033.699999999999</v>
      </c>
      <c r="N21" s="68"/>
      <c r="O21" s="69"/>
      <c r="P21" s="70"/>
      <c r="Q21" s="20">
        <f t="shared" si="1"/>
        <v>14132.729570076111</v>
      </c>
      <c r="R21" s="26">
        <f t="shared" si="0"/>
        <v>433241.73889471981</v>
      </c>
      <c r="S21" s="28"/>
    </row>
    <row r="22" spans="1:19" x14ac:dyDescent="0.3">
      <c r="A22" s="61"/>
      <c r="B22" s="74"/>
      <c r="C22" s="4">
        <v>2018</v>
      </c>
      <c r="D22" s="41">
        <v>14601.3452</v>
      </c>
      <c r="N22" s="68"/>
      <c r="O22" s="69"/>
      <c r="P22" s="70"/>
      <c r="Q22" s="20">
        <f t="shared" si="1"/>
        <v>14601.353647635053</v>
      </c>
      <c r="R22" s="26">
        <f t="shared" si="0"/>
        <v>447607.50661509973</v>
      </c>
      <c r="S22" s="28"/>
    </row>
    <row r="23" spans="1:19" x14ac:dyDescent="0.3">
      <c r="A23" s="61"/>
      <c r="B23" s="74"/>
      <c r="C23" s="4">
        <v>2019</v>
      </c>
      <c r="D23" s="2"/>
      <c r="N23" s="68"/>
      <c r="O23" s="69"/>
      <c r="P23" s="70"/>
      <c r="Q23" s="20">
        <f t="shared" ref="Q23:Q32" si="2">(($T$2*$F$2*EXP(-$G$2*(C23-$H$2))*$G$2*($F$2-$T$2)))/((EXP(-$G$2*(C23-$H$2))*($F$2-$T$2)+$T$2)^2)</f>
        <v>15085.516728113336</v>
      </c>
      <c r="R23" s="26">
        <f t="shared" ref="R23:R32" si="3">($F$2*$T$2)/(($F$2-$T$2)*EXP(-$G$2*(C23-$H$2))+$T$2)</f>
        <v>462449.62567390996</v>
      </c>
      <c r="S23" s="28"/>
    </row>
    <row r="24" spans="1:19" x14ac:dyDescent="0.3">
      <c r="A24" s="61"/>
      <c r="B24" s="74"/>
      <c r="C24" s="4">
        <v>2020</v>
      </c>
      <c r="D24" s="2"/>
      <c r="N24" s="68"/>
      <c r="O24" s="69"/>
      <c r="P24" s="70"/>
      <c r="Q24" s="20">
        <f t="shared" si="2"/>
        <v>15585.734065897679</v>
      </c>
      <c r="R24" s="26">
        <f t="shared" si="3"/>
        <v>477783.89130061684</v>
      </c>
      <c r="S24" s="28"/>
    </row>
    <row r="25" spans="1:19" x14ac:dyDescent="0.3">
      <c r="A25" s="61"/>
      <c r="B25" s="74"/>
      <c r="C25" s="4">
        <v>2021</v>
      </c>
      <c r="D25" s="2"/>
      <c r="N25" s="68"/>
      <c r="O25" s="69"/>
      <c r="P25" s="70"/>
      <c r="Q25" s="20">
        <f t="shared" si="2"/>
        <v>16102.538000581882</v>
      </c>
      <c r="R25" s="26">
        <f t="shared" si="3"/>
        <v>493626.62247523316</v>
      </c>
      <c r="S25" s="28"/>
    </row>
    <row r="26" spans="1:19" x14ac:dyDescent="0.3">
      <c r="A26" s="61"/>
      <c r="B26" s="74"/>
      <c r="C26" s="4">
        <v>2022</v>
      </c>
      <c r="D26" s="2"/>
      <c r="N26" s="68"/>
      <c r="O26" s="69"/>
      <c r="P26" s="70"/>
      <c r="Q26" s="20">
        <f t="shared" si="2"/>
        <v>16636.478523491478</v>
      </c>
      <c r="R26" s="26">
        <f t="shared" si="3"/>
        <v>509994.6792952476</v>
      </c>
      <c r="S26" s="28"/>
    </row>
    <row r="27" spans="1:19" x14ac:dyDescent="0.3">
      <c r="A27" s="61"/>
      <c r="B27" s="74"/>
      <c r="C27" s="4">
        <v>2023</v>
      </c>
      <c r="D27" s="2"/>
      <c r="N27" s="68"/>
      <c r="O27" s="69"/>
      <c r="P27" s="70"/>
      <c r="Q27" s="20">
        <f t="shared" si="2"/>
        <v>17188.123862993631</v>
      </c>
      <c r="R27" s="26">
        <f t="shared" si="3"/>
        <v>526905.48091842048</v>
      </c>
      <c r="S27" s="28"/>
    </row>
    <row r="28" spans="1:19" ht="15" thickBot="1" x14ac:dyDescent="0.35">
      <c r="A28" s="61"/>
      <c r="B28" s="74"/>
      <c r="C28" s="4">
        <v>2024</v>
      </c>
      <c r="D28" s="9"/>
      <c r="N28" s="68"/>
      <c r="O28" s="69"/>
      <c r="P28" s="70"/>
      <c r="Q28" s="20">
        <f t="shared" si="2"/>
        <v>17758.061089215174</v>
      </c>
      <c r="R28" s="26">
        <f t="shared" si="3"/>
        <v>544377.02410054056</v>
      </c>
      <c r="S28" s="28"/>
    </row>
    <row r="29" spans="1:19" ht="15" thickBot="1" x14ac:dyDescent="0.35">
      <c r="A29" s="63"/>
      <c r="B29" s="75"/>
      <c r="C29" s="4">
        <v>2025</v>
      </c>
      <c r="D29" s="8"/>
      <c r="N29" s="71"/>
      <c r="O29" s="72"/>
      <c r="P29" s="73"/>
      <c r="Q29" s="20">
        <f t="shared" si="2"/>
        <v>18346.8967388124</v>
      </c>
      <c r="R29" s="26">
        <f t="shared" si="3"/>
        <v>562427.90234787087</v>
      </c>
      <c r="S29" s="28"/>
    </row>
    <row r="30" spans="1:19" x14ac:dyDescent="0.3">
      <c r="C30" s="4">
        <v>2026</v>
      </c>
      <c r="D30" s="7"/>
      <c r="Q30" s="20">
        <f t="shared" si="2"/>
        <v>18955.25746045744</v>
      </c>
      <c r="R30" s="26">
        <f t="shared" si="3"/>
        <v>581077.32570466725</v>
      </c>
      <c r="S30" s="28"/>
    </row>
    <row r="31" spans="1:19" x14ac:dyDescent="0.3">
      <c r="C31" s="4">
        <v>2027</v>
      </c>
      <c r="D31" s="2"/>
      <c r="Q31" s="20">
        <f t="shared" si="2"/>
        <v>19583.790681728155</v>
      </c>
      <c r="R31" s="26">
        <f t="shared" si="3"/>
        <v>600345.14119682554</v>
      </c>
      <c r="S31" s="28"/>
    </row>
    <row r="32" spans="1:19" x14ac:dyDescent="0.3">
      <c r="C32" s="4">
        <v>2028</v>
      </c>
      <c r="D32" s="2"/>
      <c r="Q32" s="20">
        <f t="shared" si="2"/>
        <v>20233.16529811134</v>
      </c>
      <c r="R32" s="26">
        <f t="shared" si="3"/>
        <v>620251.85395341716</v>
      </c>
      <c r="S32" s="28"/>
    </row>
    <row r="33" spans="3:19" x14ac:dyDescent="0.3">
      <c r="C33" s="4">
        <v>2029</v>
      </c>
      <c r="D33" s="2"/>
      <c r="Q33" s="20">
        <f t="shared" ref="Q33:Q49" si="4">(($T$2*$F$2*EXP(-$G$2*(C33-$H$2))*$G$2*($F$2-$T$2)))/((EXP(-$G$2*(C33-$H$2))*($F$2-$T$2)+$T$2)^2)</f>
        <v>20904.072384852374</v>
      </c>
      <c r="R33" s="26">
        <f t="shared" ref="R33:R49" si="5">($F$2*$T$2)/(($F$2-$T$2)*EXP(-$G$2*(C33-$H$2))+$T$2)</f>
        <v>640818.64902858634</v>
      </c>
      <c r="S33" s="28"/>
    </row>
    <row r="34" spans="3:19" x14ac:dyDescent="0.3">
      <c r="C34" s="4">
        <v>2030</v>
      </c>
      <c r="D34" s="2"/>
      <c r="Q34" s="20">
        <f t="shared" si="4"/>
        <v>21597.225932409001</v>
      </c>
      <c r="R34" s="26">
        <f t="shared" si="5"/>
        <v>662067.41394703754</v>
      </c>
      <c r="S34" s="28"/>
    </row>
    <row r="35" spans="3:19" x14ac:dyDescent="0.3">
      <c r="C35" s="4">
        <v>2031</v>
      </c>
      <c r="D35" s="2"/>
      <c r="Q35" s="20">
        <f t="shared" si="4"/>
        <v>22313.363606291787</v>
      </c>
      <c r="R35" s="26">
        <f t="shared" si="5"/>
        <v>684020.76199710218</v>
      </c>
      <c r="S35" s="28"/>
    </row>
    <row r="36" spans="3:19" x14ac:dyDescent="0.3">
      <c r="C36" s="4">
        <v>2032</v>
      </c>
      <c r="D36" s="2"/>
      <c r="Q36" s="20">
        <f t="shared" si="4"/>
        <v>23053.247532100009</v>
      </c>
      <c r="R36" s="26">
        <f t="shared" si="5"/>
        <v>706702.05629617453</v>
      </c>
      <c r="S36" s="28"/>
    </row>
    <row r="37" spans="3:19" x14ac:dyDescent="0.3">
      <c r="C37" s="4">
        <v>2033</v>
      </c>
      <c r="D37" s="2"/>
      <c r="Q37" s="20">
        <f t="shared" si="4"/>
        <v>23817.665106588396</v>
      </c>
      <c r="R37" s="26">
        <f t="shared" si="5"/>
        <v>730135.43465413095</v>
      </c>
      <c r="S37" s="28"/>
    </row>
    <row r="38" spans="3:19" x14ac:dyDescent="0.3">
      <c r="C38" s="4">
        <v>2034</v>
      </c>
      <c r="D38" s="2"/>
      <c r="Q38" s="20">
        <f t="shared" si="4"/>
        <v>24607.429835627787</v>
      </c>
      <c r="R38" s="26">
        <f t="shared" si="5"/>
        <v>754345.83526118565</v>
      </c>
      <c r="S38" s="28"/>
    </row>
    <row r="39" spans="3:19" x14ac:dyDescent="0.3">
      <c r="C39" s="4">
        <v>2035</v>
      </c>
      <c r="D39" s="2"/>
      <c r="Q39" s="20">
        <f t="shared" si="4"/>
        <v>25423.382199951579</v>
      </c>
      <c r="R39" s="26">
        <f t="shared" si="5"/>
        <v>779359.02322752809</v>
      </c>
      <c r="S39" s="28"/>
    </row>
    <row r="40" spans="3:19" x14ac:dyDescent="0.3">
      <c r="C40" s="4">
        <v>2036</v>
      </c>
      <c r="D40" s="2"/>
      <c r="Q40" s="20">
        <f t="shared" si="4"/>
        <v>26266.390549609299</v>
      </c>
      <c r="R40" s="26">
        <f t="shared" si="5"/>
        <v>805201.61800298025</v>
      </c>
      <c r="S40" s="28"/>
    </row>
    <row r="41" spans="3:19" x14ac:dyDescent="0.3">
      <c r="C41" s="4">
        <v>2037</v>
      </c>
      <c r="D41" s="2"/>
      <c r="Q41" s="20">
        <f t="shared" si="4"/>
        <v>27137.35202807912</v>
      </c>
      <c r="R41" s="26">
        <f t="shared" si="5"/>
        <v>831901.12170585722</v>
      </c>
      <c r="S41" s="28"/>
    </row>
    <row r="42" spans="3:19" x14ac:dyDescent="0.3">
      <c r="C42" s="4">
        <v>2038</v>
      </c>
      <c r="D42" s="2"/>
      <c r="Q42" s="20">
        <f t="shared" si="4"/>
        <v>28037.193527022828</v>
      </c>
      <c r="R42" s="26">
        <f t="shared" si="5"/>
        <v>859485.94839117769</v>
      </c>
      <c r="S42" s="28"/>
    </row>
    <row r="43" spans="3:19" x14ac:dyDescent="0.3">
      <c r="C43" s="4">
        <v>2039</v>
      </c>
      <c r="D43" s="2"/>
      <c r="Q43" s="20">
        <f t="shared" si="4"/>
        <v>28966.872672699334</v>
      </c>
      <c r="R43" s="26">
        <f t="shared" si="5"/>
        <v>887985.45428937266</v>
      </c>
      <c r="S43" s="28"/>
    </row>
    <row r="44" spans="3:19" x14ac:dyDescent="0.3">
      <c r="C44" s="4">
        <v>2040</v>
      </c>
      <c r="D44" s="2"/>
      <c r="Q44" s="20">
        <f t="shared" si="4"/>
        <v>29927.378845086419</v>
      </c>
      <c r="R44" s="26">
        <f t="shared" si="5"/>
        <v>917429.96904767444</v>
      </c>
      <c r="S44" s="28"/>
    </row>
    <row r="45" spans="3:19" x14ac:dyDescent="0.3">
      <c r="C45" s="4">
        <v>2041</v>
      </c>
      <c r="D45" s="2"/>
      <c r="Q45" s="20">
        <f t="shared" si="4"/>
        <v>30919.734230795322</v>
      </c>
      <c r="R45" s="26">
        <f t="shared" si="5"/>
        <v>947850.82800742867</v>
      </c>
      <c r="S45" s="28"/>
    </row>
    <row r="46" spans="3:19" x14ac:dyDescent="0.3">
      <c r="C46" s="4">
        <v>2042</v>
      </c>
      <c r="D46" s="2"/>
      <c r="Q46" s="20">
        <f t="shared" si="4"/>
        <v>31944.994910898709</v>
      </c>
      <c r="R46" s="26">
        <f t="shared" si="5"/>
        <v>979280.4055516863</v>
      </c>
      <c r="S46" s="28"/>
    </row>
    <row r="47" spans="3:19" x14ac:dyDescent="0.3">
      <c r="C47" s="4">
        <v>2043</v>
      </c>
      <c r="D47" s="2"/>
      <c r="Q47" s="20">
        <f t="shared" si="4"/>
        <v>33004.251984829651</v>
      </c>
      <c r="R47" s="26">
        <f t="shared" si="5"/>
        <v>1011752.1495585584</v>
      </c>
      <c r="S47" s="28"/>
    </row>
    <row r="48" spans="3:19" x14ac:dyDescent="0.3">
      <c r="C48" s="4">
        <v>2044</v>
      </c>
      <c r="D48" s="2"/>
      <c r="Q48" s="20">
        <f t="shared" si="4"/>
        <v>34098.632731547754</v>
      </c>
      <c r="R48" s="26">
        <f t="shared" si="5"/>
        <v>1045300.6169970031</v>
      </c>
      <c r="S48" s="28"/>
    </row>
    <row r="49" spans="3:19" x14ac:dyDescent="0.3">
      <c r="C49" s="4">
        <v>2045</v>
      </c>
      <c r="D49" s="2"/>
      <c r="Q49" s="20">
        <f t="shared" si="4"/>
        <v>35229.301809208147</v>
      </c>
      <c r="R49" s="26">
        <f t="shared" si="5"/>
        <v>1079961.5107029262</v>
      </c>
      <c r="S49" s="28"/>
    </row>
    <row r="50" spans="3:19" x14ac:dyDescent="0.3">
      <c r="C50" s="4"/>
      <c r="D50" s="2"/>
      <c r="Q50" s="20"/>
      <c r="S50" s="28"/>
    </row>
    <row r="51" spans="3:19" x14ac:dyDescent="0.3">
      <c r="C51" s="4"/>
      <c r="D51" s="2"/>
      <c r="Q51" s="20"/>
      <c r="S51" s="28"/>
    </row>
    <row r="52" spans="3:19" x14ac:dyDescent="0.3">
      <c r="C52" s="4"/>
      <c r="D52" s="2"/>
      <c r="Q52" s="20"/>
      <c r="S52" s="28"/>
    </row>
    <row r="53" spans="3:19" x14ac:dyDescent="0.3">
      <c r="C53" s="4"/>
      <c r="D53" s="2"/>
      <c r="Q53" s="20"/>
      <c r="S53" s="28"/>
    </row>
    <row r="54" spans="3:19" x14ac:dyDescent="0.3">
      <c r="C54" s="4"/>
      <c r="D54" s="2"/>
      <c r="Q54" s="20"/>
      <c r="S54" s="28"/>
    </row>
    <row r="55" spans="3:19" x14ac:dyDescent="0.3">
      <c r="C55" s="4"/>
      <c r="D55" s="2"/>
      <c r="Q55" s="20"/>
      <c r="S55" s="28"/>
    </row>
    <row r="56" spans="3:19" x14ac:dyDescent="0.3">
      <c r="C56" s="4"/>
      <c r="D56" s="2"/>
      <c r="Q56" s="20"/>
      <c r="S56" s="28"/>
    </row>
    <row r="57" spans="3:19" x14ac:dyDescent="0.3">
      <c r="C57" s="4"/>
      <c r="D57" s="2"/>
      <c r="Q57" s="20"/>
      <c r="S57" s="28"/>
    </row>
    <row r="58" spans="3:19" x14ac:dyDescent="0.3">
      <c r="C58" s="2"/>
      <c r="D58" s="2"/>
      <c r="Q58" s="20"/>
    </row>
    <row r="59" spans="3:19" x14ac:dyDescent="0.3">
      <c r="C59" s="2"/>
      <c r="D59" s="2"/>
      <c r="Q59" s="20"/>
    </row>
    <row r="60" spans="3:19" x14ac:dyDescent="0.3">
      <c r="C60" s="2"/>
      <c r="D60" s="2"/>
      <c r="Q60" s="20"/>
    </row>
    <row r="61" spans="3:19" x14ac:dyDescent="0.3">
      <c r="C61" s="2"/>
      <c r="D61" s="2"/>
      <c r="Q61" s="20"/>
    </row>
    <row r="62" spans="3:19" x14ac:dyDescent="0.3">
      <c r="C62" s="2"/>
      <c r="D62" s="2"/>
      <c r="Q62" s="20"/>
    </row>
    <row r="63" spans="3:19" x14ac:dyDescent="0.3">
      <c r="C63" s="2"/>
      <c r="D63" s="2"/>
      <c r="Q63" s="20"/>
    </row>
    <row r="64" spans="3:19" x14ac:dyDescent="0.3">
      <c r="C64" s="2"/>
      <c r="D64" s="2"/>
      <c r="Q64" s="20"/>
    </row>
    <row r="65" spans="3:17" x14ac:dyDescent="0.3">
      <c r="C65" s="2"/>
      <c r="D65" s="2"/>
      <c r="Q65" s="20"/>
    </row>
    <row r="66" spans="3:17" x14ac:dyDescent="0.3">
      <c r="C66" s="2"/>
      <c r="D66" s="2"/>
      <c r="Q66" s="20"/>
    </row>
    <row r="67" spans="3:17" x14ac:dyDescent="0.3">
      <c r="C67" s="2"/>
      <c r="D67" s="2"/>
      <c r="Q67" s="20"/>
    </row>
    <row r="68" spans="3:17" x14ac:dyDescent="0.3">
      <c r="C68" s="2"/>
      <c r="D68" s="2"/>
      <c r="Q68" s="20"/>
    </row>
    <row r="69" spans="3:17" x14ac:dyDescent="0.3">
      <c r="C69" s="2"/>
      <c r="D69" s="2"/>
      <c r="Q69" s="20"/>
    </row>
    <row r="70" spans="3:17" x14ac:dyDescent="0.3">
      <c r="C70" s="2"/>
      <c r="D70" s="2"/>
      <c r="Q70" s="20"/>
    </row>
    <row r="71" spans="3:17" x14ac:dyDescent="0.3">
      <c r="C71" s="2"/>
      <c r="D71" s="2"/>
      <c r="Q71" s="20"/>
    </row>
    <row r="72" spans="3:17" x14ac:dyDescent="0.3">
      <c r="C72" s="2"/>
      <c r="D72" s="2"/>
      <c r="Q72" s="20"/>
    </row>
    <row r="73" spans="3:17" x14ac:dyDescent="0.3">
      <c r="C73" s="2"/>
      <c r="D73" s="2"/>
      <c r="Q73" s="20"/>
    </row>
    <row r="74" spans="3:17" x14ac:dyDescent="0.3">
      <c r="C74" s="2"/>
      <c r="D74" s="2"/>
      <c r="Q74" s="20"/>
    </row>
    <row r="75" spans="3:17" x14ac:dyDescent="0.3">
      <c r="C75" s="2"/>
      <c r="D75" s="2"/>
      <c r="Q75" s="20"/>
    </row>
    <row r="76" spans="3:17" x14ac:dyDescent="0.3">
      <c r="C76" s="2"/>
      <c r="D76" s="2"/>
      <c r="Q76" s="20"/>
    </row>
    <row r="77" spans="3:17" x14ac:dyDescent="0.3">
      <c r="C77" s="2"/>
      <c r="D77" s="2"/>
      <c r="Q77" s="20"/>
    </row>
    <row r="78" spans="3:17" x14ac:dyDescent="0.3">
      <c r="C78" s="2"/>
      <c r="D78" s="2"/>
      <c r="Q78" s="20"/>
    </row>
    <row r="79" spans="3:17" x14ac:dyDescent="0.3">
      <c r="C79" s="2"/>
      <c r="D79" s="2"/>
      <c r="Q79" s="20"/>
    </row>
    <row r="80" spans="3:17" x14ac:dyDescent="0.3">
      <c r="C80" s="2"/>
      <c r="D80" s="2"/>
      <c r="Q80" s="20"/>
    </row>
    <row r="81" spans="3:17" x14ac:dyDescent="0.3">
      <c r="C81" s="2"/>
      <c r="D81" s="2"/>
      <c r="Q81" s="20"/>
    </row>
    <row r="82" spans="3:17" x14ac:dyDescent="0.3">
      <c r="C82" s="2"/>
      <c r="D82" s="2"/>
      <c r="Q82" s="20"/>
    </row>
    <row r="83" spans="3:17" x14ac:dyDescent="0.3">
      <c r="Q83" s="20"/>
    </row>
    <row r="84" spans="3:17" x14ac:dyDescent="0.3">
      <c r="Q84" s="20"/>
    </row>
    <row r="85" spans="3:17" x14ac:dyDescent="0.3">
      <c r="Q85" s="20"/>
    </row>
    <row r="86" spans="3:17" x14ac:dyDescent="0.3">
      <c r="Q86" s="20"/>
    </row>
    <row r="87" spans="3:17" x14ac:dyDescent="0.3">
      <c r="Q87" s="20"/>
    </row>
    <row r="88" spans="3:17" x14ac:dyDescent="0.3">
      <c r="Q88" s="20"/>
    </row>
    <row r="89" spans="3:17" x14ac:dyDescent="0.3">
      <c r="Q89" s="20"/>
    </row>
    <row r="90" spans="3:17" x14ac:dyDescent="0.3">
      <c r="Q90" s="20"/>
    </row>
    <row r="91" spans="3:17" x14ac:dyDescent="0.3">
      <c r="Q91" s="20"/>
    </row>
    <row r="92" spans="3:17" x14ac:dyDescent="0.3">
      <c r="Q92" s="20"/>
    </row>
    <row r="93" spans="3:17" x14ac:dyDescent="0.3">
      <c r="Q93" s="20"/>
    </row>
    <row r="94" spans="3:17" x14ac:dyDescent="0.3">
      <c r="Q94" s="20"/>
    </row>
    <row r="95" spans="3:17" x14ac:dyDescent="0.3">
      <c r="Q95" s="20"/>
    </row>
    <row r="96" spans="3:17" x14ac:dyDescent="0.3">
      <c r="Q96" s="20"/>
    </row>
    <row r="97" spans="17:17" x14ac:dyDescent="0.3">
      <c r="Q97" s="20"/>
    </row>
    <row r="98" spans="17:17" x14ac:dyDescent="0.3">
      <c r="Q98" s="20"/>
    </row>
    <row r="99" spans="17:17" x14ac:dyDescent="0.3">
      <c r="Q99" s="20"/>
    </row>
    <row r="100" spans="17:17" x14ac:dyDescent="0.3">
      <c r="Q100" s="20"/>
    </row>
    <row r="101" spans="17:17" x14ac:dyDescent="0.3">
      <c r="Q101" s="20"/>
    </row>
    <row r="102" spans="17:17" x14ac:dyDescent="0.3">
      <c r="Q102" s="20"/>
    </row>
    <row r="103" spans="17:17" x14ac:dyDescent="0.3">
      <c r="Q103" s="20"/>
    </row>
    <row r="104" spans="17:17" x14ac:dyDescent="0.3">
      <c r="Q104" s="20"/>
    </row>
    <row r="105" spans="17:17" x14ac:dyDescent="0.3">
      <c r="Q105" s="20"/>
    </row>
    <row r="106" spans="17:17" x14ac:dyDescent="0.3">
      <c r="Q106" s="20"/>
    </row>
    <row r="107" spans="17:17" x14ac:dyDescent="0.3">
      <c r="Q107" s="20"/>
    </row>
    <row r="108" spans="17:17" x14ac:dyDescent="0.3">
      <c r="Q108" s="20"/>
    </row>
    <row r="109" spans="17:17" x14ac:dyDescent="0.3">
      <c r="Q109" s="20"/>
    </row>
    <row r="110" spans="17:17" x14ac:dyDescent="0.3">
      <c r="Q110" s="20"/>
    </row>
    <row r="111" spans="17:17" x14ac:dyDescent="0.3">
      <c r="Q111" s="20"/>
    </row>
    <row r="112" spans="17:17" x14ac:dyDescent="0.3">
      <c r="Q112" s="20"/>
    </row>
    <row r="113" spans="17:17" x14ac:dyDescent="0.3">
      <c r="Q113" s="20"/>
    </row>
    <row r="114" spans="17:17" x14ac:dyDescent="0.3">
      <c r="Q114" s="20"/>
    </row>
    <row r="115" spans="17:17" x14ac:dyDescent="0.3">
      <c r="Q115" s="20"/>
    </row>
    <row r="116" spans="17:17" x14ac:dyDescent="0.3">
      <c r="Q116" s="20"/>
    </row>
    <row r="117" spans="17:17" x14ac:dyDescent="0.3">
      <c r="Q117" s="20"/>
    </row>
    <row r="118" spans="17:17" x14ac:dyDescent="0.3">
      <c r="Q118" s="20"/>
    </row>
    <row r="119" spans="17:17" x14ac:dyDescent="0.3">
      <c r="Q119" s="20"/>
    </row>
    <row r="120" spans="17:17" x14ac:dyDescent="0.3">
      <c r="Q120" s="20"/>
    </row>
    <row r="121" spans="17:17" x14ac:dyDescent="0.3">
      <c r="Q121" s="20"/>
    </row>
    <row r="122" spans="17:17" x14ac:dyDescent="0.3">
      <c r="Q122" s="20"/>
    </row>
    <row r="123" spans="17:17" x14ac:dyDescent="0.3">
      <c r="Q123" s="20"/>
    </row>
    <row r="124" spans="17:17" x14ac:dyDescent="0.3">
      <c r="Q124" s="20"/>
    </row>
    <row r="125" spans="17:17" x14ac:dyDescent="0.3">
      <c r="Q125" s="20"/>
    </row>
    <row r="126" spans="17:17" x14ac:dyDescent="0.3">
      <c r="Q126" s="20"/>
    </row>
    <row r="127" spans="17:17" x14ac:dyDescent="0.3">
      <c r="Q127" s="20"/>
    </row>
    <row r="128" spans="17:17" x14ac:dyDescent="0.3">
      <c r="Q128" s="20"/>
    </row>
    <row r="129" spans="17:17" x14ac:dyDescent="0.3">
      <c r="Q129" s="20"/>
    </row>
    <row r="130" spans="17:17" x14ac:dyDescent="0.3">
      <c r="Q130" s="20"/>
    </row>
    <row r="131" spans="17:17" x14ac:dyDescent="0.3">
      <c r="Q131" s="20"/>
    </row>
    <row r="132" spans="17:17" x14ac:dyDescent="0.3">
      <c r="Q132" s="20"/>
    </row>
    <row r="133" spans="17:17" x14ac:dyDescent="0.3">
      <c r="Q133" s="20"/>
    </row>
    <row r="134" spans="17:17" x14ac:dyDescent="0.3">
      <c r="Q134" s="20"/>
    </row>
    <row r="135" spans="17:17" x14ac:dyDescent="0.3">
      <c r="Q135" s="20"/>
    </row>
    <row r="136" spans="17:17" x14ac:dyDescent="0.3">
      <c r="Q136" s="20"/>
    </row>
    <row r="137" spans="17:17" x14ac:dyDescent="0.3">
      <c r="Q137" s="20"/>
    </row>
    <row r="138" spans="17:17" x14ac:dyDescent="0.3">
      <c r="Q138" s="20"/>
    </row>
    <row r="139" spans="17:17" x14ac:dyDescent="0.3">
      <c r="Q139" s="20"/>
    </row>
    <row r="140" spans="17:17" x14ac:dyDescent="0.3">
      <c r="Q140" s="20"/>
    </row>
    <row r="141" spans="17:17" x14ac:dyDescent="0.3">
      <c r="Q141" s="20"/>
    </row>
    <row r="142" spans="17:17" x14ac:dyDescent="0.3">
      <c r="Q142" s="20"/>
    </row>
    <row r="143" spans="17:17" x14ac:dyDescent="0.3">
      <c r="Q143" s="20"/>
    </row>
    <row r="144" spans="17:17" x14ac:dyDescent="0.3">
      <c r="Q144" s="20"/>
    </row>
    <row r="145" spans="17:17" x14ac:dyDescent="0.3">
      <c r="Q145" s="20"/>
    </row>
    <row r="146" spans="17:17" x14ac:dyDescent="0.3">
      <c r="Q146" s="20"/>
    </row>
    <row r="147" spans="17:17" x14ac:dyDescent="0.3">
      <c r="Q147" s="20"/>
    </row>
    <row r="148" spans="17:17" x14ac:dyDescent="0.3">
      <c r="Q148" s="20"/>
    </row>
    <row r="149" spans="17:17" x14ac:dyDescent="0.3">
      <c r="Q149" s="20"/>
    </row>
    <row r="150" spans="17:17" x14ac:dyDescent="0.3">
      <c r="Q150" s="20"/>
    </row>
  </sheetData>
  <mergeCells count="3">
    <mergeCell ref="A1:B29"/>
    <mergeCell ref="N1:P29"/>
    <mergeCell ref="G13:K15"/>
  </mergeCell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3E95C-1708-4262-9682-90433015B2CE}">
  <sheetPr codeName="Sheet8"/>
  <dimension ref="A1:V150"/>
  <sheetViews>
    <sheetView zoomScale="90" zoomScaleNormal="90" workbookViewId="0">
      <selection activeCell="D47" sqref="D47"/>
    </sheetView>
  </sheetViews>
  <sheetFormatPr defaultRowHeight="14.4" x14ac:dyDescent="0.3"/>
  <cols>
    <col min="3" max="3" width="8.88671875" style="17"/>
    <col min="4" max="4" width="9.33203125" style="17" customWidth="1"/>
    <col min="10" max="10" width="14.88671875" bestFit="1" customWidth="1"/>
    <col min="14" max="16" width="8.88671875" style="1"/>
    <col min="17" max="17" width="8.88671875" style="21"/>
    <col min="18" max="18" width="9.21875" style="26" customWidth="1"/>
    <col min="20" max="20" width="11.6640625" bestFit="1" customWidth="1"/>
  </cols>
  <sheetData>
    <row r="1" spans="1:22" ht="15.6" x14ac:dyDescent="0.3">
      <c r="A1" s="59" t="s">
        <v>13</v>
      </c>
      <c r="B1" s="60"/>
      <c r="C1" s="18" t="s">
        <v>15</v>
      </c>
      <c r="D1" s="18" t="s">
        <v>50</v>
      </c>
      <c r="F1" s="2" t="s">
        <v>19</v>
      </c>
      <c r="G1" s="2" t="s">
        <v>18</v>
      </c>
      <c r="H1" s="2" t="s">
        <v>27</v>
      </c>
      <c r="J1" s="15" t="s">
        <v>51</v>
      </c>
      <c r="N1" s="65" t="s">
        <v>14</v>
      </c>
      <c r="O1" s="66"/>
      <c r="P1" s="67"/>
      <c r="Q1" s="19" t="s">
        <v>28</v>
      </c>
      <c r="R1" s="25" t="s">
        <v>62</v>
      </c>
      <c r="T1" s="5" t="s">
        <v>23</v>
      </c>
      <c r="U1" s="5" t="s">
        <v>24</v>
      </c>
    </row>
    <row r="2" spans="1:22" ht="15.6" customHeight="1" x14ac:dyDescent="0.3">
      <c r="A2" s="61"/>
      <c r="B2" s="74"/>
      <c r="C2" s="4">
        <v>1973</v>
      </c>
      <c r="D2" s="2">
        <v>25.38823</v>
      </c>
      <c r="F2">
        <v>67950</v>
      </c>
      <c r="G2" s="27">
        <v>8.084369947736153E-2</v>
      </c>
      <c r="H2">
        <v>2017</v>
      </c>
      <c r="J2" s="22">
        <f>D47</f>
        <v>650</v>
      </c>
      <c r="N2" s="68"/>
      <c r="O2" s="69"/>
      <c r="P2" s="70"/>
      <c r="Q2" s="20">
        <f t="shared" ref="Q2:Q33" si="0">(($T$2*$F$2*EXP(-$G$2*(C2-$H$2))*$G$2*($F$2-$T$2)))/((EXP(-$G$2*(C2-$H$2))*($F$2-$T$2)+$T$2)^2)</f>
        <v>24.674916806446262</v>
      </c>
      <c r="R2" s="26">
        <f t="shared" ref="R2:R33" si="1">($F$2*$T$2)/(($F$2-$T$2)*EXP(-$G$2*(C2-$H$2))+$T$2)</f>
        <v>306.60099284425962</v>
      </c>
      <c r="T2" s="5">
        <f>F2/2*(1-SQRT(1-(4*J2)/(F2*G2)))</f>
        <v>9317.9802027325168</v>
      </c>
      <c r="U2" s="5">
        <f>SUM((Q2:Q50-D2:D50)^2)/SUM((D2:D50)^2)</f>
        <v>7.8939735266886661E-4</v>
      </c>
    </row>
    <row r="3" spans="1:22" x14ac:dyDescent="0.3">
      <c r="A3" s="61"/>
      <c r="B3" s="74"/>
      <c r="C3" s="4">
        <v>1974</v>
      </c>
      <c r="D3" s="2">
        <v>26.240362999999999</v>
      </c>
      <c r="N3" s="68"/>
      <c r="O3" s="69"/>
      <c r="P3" s="70"/>
      <c r="Q3" s="20">
        <f t="shared" si="0"/>
        <v>26.732263257888178</v>
      </c>
      <c r="R3" s="26">
        <f t="shared" si="1"/>
        <v>332.29098515600759</v>
      </c>
      <c r="V3" t="s">
        <v>25</v>
      </c>
    </row>
    <row r="4" spans="1:22" x14ac:dyDescent="0.3">
      <c r="A4" s="61"/>
      <c r="B4" s="74"/>
      <c r="C4" s="4">
        <v>1975</v>
      </c>
      <c r="D4" s="2">
        <v>28.452370999999999</v>
      </c>
      <c r="F4" t="s">
        <v>16</v>
      </c>
      <c r="N4" s="68"/>
      <c r="O4" s="69"/>
      <c r="P4" s="70"/>
      <c r="Q4" s="20">
        <f t="shared" si="0"/>
        <v>28.959304123342051</v>
      </c>
      <c r="R4" s="26">
        <f t="shared" si="1"/>
        <v>360.12207329166398</v>
      </c>
      <c r="V4" t="s">
        <v>26</v>
      </c>
    </row>
    <row r="5" spans="1:22" x14ac:dyDescent="0.3">
      <c r="A5" s="61"/>
      <c r="B5" s="74"/>
      <c r="C5" s="4">
        <v>1976</v>
      </c>
      <c r="D5" s="2">
        <v>30.49586</v>
      </c>
      <c r="N5" s="68"/>
      <c r="O5" s="69"/>
      <c r="P5" s="70"/>
      <c r="Q5" s="20">
        <f t="shared" si="0"/>
        <v>31.369714899987912</v>
      </c>
      <c r="R5" s="26">
        <f t="shared" si="1"/>
        <v>390.27070508813176</v>
      </c>
    </row>
    <row r="6" spans="1:22" x14ac:dyDescent="0.3">
      <c r="A6" s="61"/>
      <c r="B6" s="74"/>
      <c r="C6" s="4">
        <v>1977</v>
      </c>
      <c r="D6" s="2">
        <v>33.564242</v>
      </c>
      <c r="F6" t="s">
        <v>17</v>
      </c>
      <c r="N6" s="68"/>
      <c r="O6" s="69"/>
      <c r="P6" s="70"/>
      <c r="Q6" s="20">
        <f t="shared" si="0"/>
        <v>33.97821709780321</v>
      </c>
      <c r="R6" s="26">
        <f t="shared" si="1"/>
        <v>422.92752116762892</v>
      </c>
    </row>
    <row r="7" spans="1:22" x14ac:dyDescent="0.3">
      <c r="A7" s="61"/>
      <c r="B7" s="74"/>
      <c r="C7" s="4">
        <v>1978</v>
      </c>
      <c r="D7" s="2">
        <v>32.174216000000001</v>
      </c>
      <c r="N7" s="68"/>
      <c r="O7" s="69"/>
      <c r="P7" s="70"/>
      <c r="Q7" s="20">
        <f t="shared" si="0"/>
        <v>36.800648370490343</v>
      </c>
      <c r="R7" s="26">
        <f t="shared" si="1"/>
        <v>458.2984357657665</v>
      </c>
    </row>
    <row r="8" spans="1:22" x14ac:dyDescent="0.3">
      <c r="A8" s="61"/>
      <c r="B8" s="74"/>
      <c r="C8" s="4">
        <v>1979</v>
      </c>
      <c r="D8" s="2">
        <v>37.933272000000002</v>
      </c>
      <c r="F8" t="s">
        <v>22</v>
      </c>
      <c r="N8" s="68"/>
      <c r="O8" s="69"/>
      <c r="P8" s="70"/>
      <c r="Q8" s="20">
        <f t="shared" si="0"/>
        <v>39.85403555468482</v>
      </c>
      <c r="R8" s="26">
        <f t="shared" si="1"/>
        <v>496.60578916122063</v>
      </c>
    </row>
    <row r="9" spans="1:22" x14ac:dyDescent="0.3">
      <c r="A9" s="61"/>
      <c r="B9" s="74"/>
      <c r="C9" s="4">
        <v>1980</v>
      </c>
      <c r="D9" s="2">
        <v>37.835208000000002</v>
      </c>
      <c r="F9" t="s">
        <v>20</v>
      </c>
      <c r="N9" s="68"/>
      <c r="O9" s="69"/>
      <c r="P9" s="70"/>
      <c r="Q9" s="20">
        <f t="shared" si="0"/>
        <v>43.156670377010187</v>
      </c>
      <c r="R9" s="26">
        <f t="shared" si="1"/>
        <v>538.08957450225819</v>
      </c>
    </row>
    <row r="10" spans="1:22" x14ac:dyDescent="0.3">
      <c r="A10" s="61"/>
      <c r="B10" s="74"/>
      <c r="C10" s="4">
        <v>1981</v>
      </c>
      <c r="D10" s="2">
        <v>44.738939999999999</v>
      </c>
      <c r="F10" t="s">
        <v>21</v>
      </c>
      <c r="N10" s="68"/>
      <c r="O10" s="69"/>
      <c r="P10" s="70"/>
      <c r="Q10" s="20">
        <f t="shared" si="0"/>
        <v>46.728187493828841</v>
      </c>
      <c r="R10" s="26">
        <f t="shared" si="1"/>
        <v>583.00874153900384</v>
      </c>
    </row>
    <row r="11" spans="1:22" x14ac:dyDescent="0.3">
      <c r="A11" s="61"/>
      <c r="B11" s="74"/>
      <c r="C11" s="4">
        <v>1982</v>
      </c>
      <c r="D11" s="2">
        <v>47.720286000000002</v>
      </c>
      <c r="N11" s="68"/>
      <c r="O11" s="69"/>
      <c r="P11" s="70"/>
      <c r="Q11" s="20">
        <f t="shared" si="0"/>
        <v>50.589644415544143</v>
      </c>
      <c r="R11" s="26">
        <f t="shared" si="1"/>
        <v>631.6425793803204</v>
      </c>
    </row>
    <row r="12" spans="1:22" ht="15" thickBot="1" x14ac:dyDescent="0.35">
      <c r="A12" s="61"/>
      <c r="B12" s="74"/>
      <c r="C12" s="4">
        <v>1983</v>
      </c>
      <c r="D12" s="2">
        <v>47.497866000000002</v>
      </c>
      <c r="N12" s="68"/>
      <c r="O12" s="69"/>
      <c r="P12" s="70"/>
      <c r="Q12" s="20">
        <f t="shared" si="0"/>
        <v>54.763602733392702</v>
      </c>
      <c r="R12" s="26">
        <f t="shared" si="1"/>
        <v>684.29217988092034</v>
      </c>
    </row>
    <row r="13" spans="1:22" x14ac:dyDescent="0.3">
      <c r="A13" s="61"/>
      <c r="B13" s="74"/>
      <c r="C13" s="4">
        <v>1984</v>
      </c>
      <c r="D13" s="2">
        <v>54.822206000000001</v>
      </c>
      <c r="G13" s="76" t="s">
        <v>66</v>
      </c>
      <c r="H13" s="77"/>
      <c r="I13" s="77"/>
      <c r="J13" s="77"/>
      <c r="K13" s="78"/>
      <c r="N13" s="68"/>
      <c r="O13" s="69"/>
      <c r="P13" s="70"/>
      <c r="Q13" s="20">
        <f t="shared" si="0"/>
        <v>59.274209908932541</v>
      </c>
      <c r="R13" s="26">
        <f t="shared" si="1"/>
        <v>741.28198260553381</v>
      </c>
    </row>
    <row r="14" spans="1:22" x14ac:dyDescent="0.3">
      <c r="A14" s="61"/>
      <c r="B14" s="74"/>
      <c r="C14" s="4">
        <v>1985</v>
      </c>
      <c r="D14" s="2">
        <v>58.133695000000003</v>
      </c>
      <c r="G14" s="79"/>
      <c r="H14" s="80"/>
      <c r="I14" s="80"/>
      <c r="J14" s="80"/>
      <c r="K14" s="81"/>
      <c r="N14" s="68"/>
      <c r="O14" s="69"/>
      <c r="P14" s="70"/>
      <c r="Q14" s="20">
        <f t="shared" si="0"/>
        <v>64.147280701747974</v>
      </c>
      <c r="R14" s="26">
        <f t="shared" si="1"/>
        <v>802.96140148717438</v>
      </c>
    </row>
    <row r="15" spans="1:22" ht="15" thickBot="1" x14ac:dyDescent="0.35">
      <c r="A15" s="61"/>
      <c r="B15" s="74"/>
      <c r="C15" s="4">
        <v>1986</v>
      </c>
      <c r="D15" s="2">
        <v>68.997249999999994</v>
      </c>
      <c r="G15" s="82"/>
      <c r="H15" s="83"/>
      <c r="I15" s="83"/>
      <c r="J15" s="83"/>
      <c r="K15" s="84"/>
      <c r="N15" s="68"/>
      <c r="O15" s="69"/>
      <c r="P15" s="70"/>
      <c r="Q15" s="20">
        <f t="shared" si="0"/>
        <v>69.410377095927885</v>
      </c>
      <c r="R15" s="26">
        <f t="shared" si="1"/>
        <v>869.70653226727461</v>
      </c>
    </row>
    <row r="16" spans="1:22" x14ac:dyDescent="0.3">
      <c r="A16" s="61"/>
      <c r="B16" s="74"/>
      <c r="C16" s="4">
        <v>1987</v>
      </c>
      <c r="D16" s="2">
        <v>75.697582999999995</v>
      </c>
      <c r="N16" s="68"/>
      <c r="O16" s="69"/>
      <c r="P16" s="70"/>
      <c r="Q16" s="20">
        <f t="shared" si="0"/>
        <v>75.092885337130582</v>
      </c>
      <c r="R16" s="26">
        <f t="shared" si="1"/>
        <v>941.92193854459651</v>
      </c>
    </row>
    <row r="17" spans="1:20" x14ac:dyDescent="0.3">
      <c r="A17" s="61"/>
      <c r="B17" s="74"/>
      <c r="C17" s="4">
        <v>1988</v>
      </c>
      <c r="D17" s="2">
        <v>83.922488000000001</v>
      </c>
      <c r="N17" s="68"/>
      <c r="O17" s="69"/>
      <c r="P17" s="70"/>
      <c r="Q17" s="20">
        <f t="shared" si="0"/>
        <v>81.226088405953021</v>
      </c>
      <c r="R17" s="26">
        <f t="shared" si="1"/>
        <v>1020.0425127318571</v>
      </c>
    </row>
    <row r="18" spans="1:20" x14ac:dyDescent="0.3">
      <c r="A18" s="61"/>
      <c r="B18" s="74"/>
      <c r="C18" s="4">
        <v>1989</v>
      </c>
      <c r="D18" s="2">
        <v>95.723837000000003</v>
      </c>
      <c r="N18" s="68"/>
      <c r="O18" s="69"/>
      <c r="P18" s="70"/>
      <c r="Q18" s="20">
        <f t="shared" si="0"/>
        <v>87.84323192632462</v>
      </c>
      <c r="R18" s="26">
        <f t="shared" si="1"/>
        <v>1104.5354063847756</v>
      </c>
    </row>
    <row r="19" spans="1:20" x14ac:dyDescent="0.3">
      <c r="A19" s="61"/>
      <c r="B19" s="74"/>
      <c r="C19" s="4">
        <v>1990</v>
      </c>
      <c r="D19" s="2">
        <v>91.089563999999996</v>
      </c>
      <c r="N19" s="68"/>
      <c r="O19" s="69"/>
      <c r="P19" s="70"/>
      <c r="Q19" s="20">
        <f t="shared" si="0"/>
        <v>94.979581136367457</v>
      </c>
      <c r="R19" s="26">
        <f t="shared" si="1"/>
        <v>1195.9020221851606</v>
      </c>
    </row>
    <row r="20" spans="1:20" x14ac:dyDescent="0.3">
      <c r="A20" s="61"/>
      <c r="B20" s="74"/>
      <c r="C20" s="4">
        <v>1991</v>
      </c>
      <c r="D20" s="2">
        <v>96.225247999999993</v>
      </c>
      <c r="N20" s="68"/>
      <c r="O20" s="69"/>
      <c r="P20" s="70"/>
      <c r="Q20" s="20">
        <f t="shared" si="0"/>
        <v>102.67246613060618</v>
      </c>
      <c r="R20" s="26">
        <f t="shared" si="1"/>
        <v>1294.6800572818606</v>
      </c>
      <c r="T20" s="33"/>
    </row>
    <row r="21" spans="1:20" x14ac:dyDescent="0.3">
      <c r="A21" s="61"/>
      <c r="B21" s="74"/>
      <c r="C21" s="4">
        <v>1992</v>
      </c>
      <c r="D21" s="2">
        <v>103.093521</v>
      </c>
      <c r="N21" s="68"/>
      <c r="O21" s="69"/>
      <c r="P21" s="70"/>
      <c r="Q21" s="20">
        <f t="shared" si="0"/>
        <v>110.96131211421618</v>
      </c>
      <c r="R21" s="26">
        <f t="shared" si="1"/>
        <v>1401.4455846723979</v>
      </c>
    </row>
    <row r="22" spans="1:20" x14ac:dyDescent="0.3">
      <c r="A22" s="61"/>
      <c r="B22" s="74"/>
      <c r="C22" s="4">
        <v>1993</v>
      </c>
      <c r="D22" s="2">
        <v>114.470024</v>
      </c>
      <c r="N22" s="68"/>
      <c r="O22" s="69"/>
      <c r="P22" s="70"/>
      <c r="Q22" s="20">
        <f t="shared" si="0"/>
        <v>119.88765089079268</v>
      </c>
      <c r="R22" s="26">
        <f t="shared" si="1"/>
        <v>1516.8151557934809</v>
      </c>
    </row>
    <row r="23" spans="1:20" x14ac:dyDescent="0.3">
      <c r="A23" s="61"/>
      <c r="B23" s="74"/>
      <c r="C23" s="4">
        <v>1994</v>
      </c>
      <c r="D23" s="2">
        <v>129.52032800000001</v>
      </c>
      <c r="N23" s="68"/>
      <c r="O23" s="69"/>
      <c r="P23" s="70"/>
      <c r="Q23" s="20">
        <f t="shared" si="0"/>
        <v>129.49510923494711</v>
      </c>
      <c r="R23" s="26">
        <f t="shared" si="1"/>
        <v>1641.4479034291603</v>
      </c>
    </row>
    <row r="24" spans="1:20" x14ac:dyDescent="0.3">
      <c r="A24" s="61"/>
      <c r="B24" s="74"/>
      <c r="C24" s="4">
        <v>1995</v>
      </c>
      <c r="D24" s="2">
        <v>139.00563299999999</v>
      </c>
      <c r="N24" s="68"/>
      <c r="O24" s="69"/>
      <c r="P24" s="70"/>
      <c r="Q24" s="20">
        <f t="shared" si="0"/>
        <v>139.82936918189134</v>
      </c>
      <c r="R24" s="26">
        <f t="shared" si="1"/>
        <v>1776.0476193910843</v>
      </c>
    </row>
    <row r="25" spans="1:20" x14ac:dyDescent="0.3">
      <c r="A25" s="61"/>
      <c r="B25" s="74"/>
      <c r="C25" s="4">
        <v>1996</v>
      </c>
      <c r="D25" s="2">
        <v>143.48543799999999</v>
      </c>
      <c r="N25" s="68"/>
      <c r="O25" s="69"/>
      <c r="P25" s="70"/>
      <c r="Q25" s="20">
        <f t="shared" si="0"/>
        <v>150.93809460265317</v>
      </c>
      <c r="R25" s="26">
        <f t="shared" si="1"/>
        <v>1921.3647761291124</v>
      </c>
    </row>
    <row r="26" spans="1:20" x14ac:dyDescent="0.3">
      <c r="A26" s="61"/>
      <c r="B26" s="74"/>
      <c r="C26" s="4">
        <v>1997</v>
      </c>
      <c r="D26" s="2">
        <v>157.831357</v>
      </c>
      <c r="N26" s="68"/>
      <c r="O26" s="69"/>
      <c r="P26" s="70"/>
      <c r="Q26" s="20">
        <f t="shared" si="0"/>
        <v>162.87081773368419</v>
      </c>
      <c r="R26" s="26">
        <f t="shared" si="1"/>
        <v>2078.1984554518663</v>
      </c>
    </row>
    <row r="27" spans="1:20" x14ac:dyDescent="0.3">
      <c r="A27" s="61"/>
      <c r="B27" s="74"/>
      <c r="C27" s="4">
        <v>1998</v>
      </c>
      <c r="D27" s="2">
        <v>166.83594600000001</v>
      </c>
      <c r="N27" s="68"/>
      <c r="O27" s="69"/>
      <c r="P27" s="70"/>
      <c r="Q27" s="20">
        <f t="shared" si="0"/>
        <v>175.67877860568143</v>
      </c>
      <c r="R27" s="26">
        <f t="shared" si="1"/>
        <v>2247.3981408449113</v>
      </c>
    </row>
    <row r="28" spans="1:20" ht="15" thickBot="1" x14ac:dyDescent="0.35">
      <c r="A28" s="61"/>
      <c r="B28" s="74"/>
      <c r="C28" s="4">
        <v>1999</v>
      </c>
      <c r="D28" s="9">
        <v>183.09737200000001</v>
      </c>
      <c r="N28" s="68"/>
      <c r="O28" s="69"/>
      <c r="P28" s="70"/>
      <c r="Q28" s="20">
        <f t="shared" si="0"/>
        <v>189.41470958615432</v>
      </c>
      <c r="R28" s="26">
        <f t="shared" si="1"/>
        <v>2429.8653224535992</v>
      </c>
    </row>
    <row r="29" spans="1:20" ht="15" thickBot="1" x14ac:dyDescent="0.35">
      <c r="A29" s="63"/>
      <c r="B29" s="75"/>
      <c r="C29" s="10">
        <v>2000</v>
      </c>
      <c r="D29" s="8">
        <v>196.247288</v>
      </c>
      <c r="N29" s="71"/>
      <c r="O29" s="72"/>
      <c r="P29" s="73"/>
      <c r="Q29" s="20">
        <f t="shared" si="0"/>
        <v>204.13255653789321</v>
      </c>
      <c r="R29" s="26">
        <f t="shared" si="1"/>
        <v>2626.5548556532394</v>
      </c>
    </row>
    <row r="30" spans="1:20" x14ac:dyDescent="0.3">
      <c r="C30" s="2">
        <v>2001</v>
      </c>
      <c r="D30" s="7">
        <v>213.309077</v>
      </c>
      <c r="Q30" s="20">
        <f t="shared" si="0"/>
        <v>219.88712743318308</v>
      </c>
      <c r="R30" s="26">
        <f t="shared" si="1"/>
        <v>2838.4760052944789</v>
      </c>
    </row>
    <row r="31" spans="1:20" x14ac:dyDescent="0.3">
      <c r="C31" s="2">
        <v>2002</v>
      </c>
      <c r="D31" s="2">
        <v>232.23407800000001</v>
      </c>
      <c r="Q31" s="20">
        <f t="shared" si="0"/>
        <v>236.7336586927488</v>
      </c>
      <c r="R31" s="26">
        <f t="shared" si="1"/>
        <v>3066.6930982566523</v>
      </c>
    </row>
    <row r="32" spans="1:20" x14ac:dyDescent="0.3">
      <c r="C32" s="2">
        <v>2003</v>
      </c>
      <c r="D32" s="2">
        <v>248.66025200000001</v>
      </c>
      <c r="Q32" s="20">
        <f t="shared" si="0"/>
        <v>254.7272890909698</v>
      </c>
      <c r="R32" s="26">
        <f t="shared" si="1"/>
        <v>3312.3256969826211</v>
      </c>
    </row>
    <row r="33" spans="3:18" x14ac:dyDescent="0.3">
      <c r="C33" s="2">
        <v>2004</v>
      </c>
      <c r="D33" s="2">
        <v>274.38306699999998</v>
      </c>
      <c r="Q33" s="20">
        <f t="shared" si="0"/>
        <v>273.92243084866902</v>
      </c>
      <c r="R33" s="26">
        <f t="shared" si="1"/>
        <v>3576.5481963798452</v>
      </c>
    </row>
    <row r="34" spans="3:18" x14ac:dyDescent="0.3">
      <c r="C34" s="2">
        <v>2005</v>
      </c>
      <c r="D34" s="2">
        <v>300.35035399999998</v>
      </c>
      <c r="Q34" s="20">
        <f t="shared" ref="Q34:Q65" si="2">(($T$2*$F$2*EXP(-$G$2*(C34-$H$2))*$G$2*($F$2-$T$2)))/((EXP(-$G$2*(C34-$H$2))*($F$2-$T$2)+$T$2)^2)</f>
        <v>294.37202759831666</v>
      </c>
      <c r="R34" s="26">
        <f t="shared" ref="R34:R65" si="3">($F$2*$T$2)/(($F$2-$T$2)*EXP(-$G$2*(C34-$H$2))+$T$2)</f>
        <v>3860.5887360982856</v>
      </c>
    </row>
    <row r="35" spans="3:18" x14ac:dyDescent="0.3">
      <c r="C35" s="2">
        <v>2006</v>
      </c>
      <c r="D35" s="2">
        <v>326.167958</v>
      </c>
      <c r="Q35" s="20">
        <f t="shared" si="2"/>
        <v>316.12668934362961</v>
      </c>
      <c r="R35" s="26">
        <f t="shared" si="3"/>
        <v>4165.7273100639268</v>
      </c>
    </row>
    <row r="36" spans="3:18" x14ac:dyDescent="0.3">
      <c r="C36" s="2">
        <v>2007</v>
      </c>
      <c r="D36" s="2">
        <v>351.912398</v>
      </c>
      <c r="Q36" s="20">
        <f t="shared" si="2"/>
        <v>339.23369544912629</v>
      </c>
      <c r="R36" s="26">
        <f t="shared" si="3"/>
        <v>4493.2929456811771</v>
      </c>
    </row>
    <row r="37" spans="3:18" x14ac:dyDescent="0.3">
      <c r="C37" s="2">
        <v>2008</v>
      </c>
      <c r="D37" s="2">
        <v>381.77021000000002</v>
      </c>
      <c r="Q37" s="20">
        <f t="shared" si="2"/>
        <v>363.73585819975187</v>
      </c>
      <c r="R37" s="26">
        <f t="shared" si="3"/>
        <v>4844.6598168509481</v>
      </c>
    </row>
    <row r="38" spans="3:18" x14ac:dyDescent="0.3">
      <c r="C38" s="2">
        <v>2009</v>
      </c>
      <c r="D38" s="2">
        <v>401.02278899999999</v>
      </c>
      <c r="Q38" s="20">
        <f t="shared" si="2"/>
        <v>389.6702416896789</v>
      </c>
      <c r="R38" s="26">
        <f t="shared" si="3"/>
        <v>5221.2421485359746</v>
      </c>
    </row>
    <row r="39" spans="3:18" x14ac:dyDescent="0.3">
      <c r="C39" s="2">
        <v>2010</v>
      </c>
      <c r="D39" s="2">
        <v>463.348052</v>
      </c>
      <c r="Q39" s="20">
        <f t="shared" si="2"/>
        <v>417.0667338606105</v>
      </c>
      <c r="R39" s="26">
        <f t="shared" si="3"/>
        <v>5624.4877668191702</v>
      </c>
    </row>
    <row r="40" spans="3:18" x14ac:dyDescent="0.3">
      <c r="C40" s="2">
        <v>2011</v>
      </c>
      <c r="D40" s="2">
        <v>493.242704</v>
      </c>
      <c r="Q40" s="20">
        <f t="shared" si="2"/>
        <v>445.94647353848035</v>
      </c>
      <c r="R40" s="26">
        <f t="shared" si="3"/>
        <v>6055.8701481498192</v>
      </c>
    </row>
    <row r="41" spans="3:18" x14ac:dyDescent="0.3">
      <c r="C41" s="2">
        <v>2012</v>
      </c>
      <c r="D41" s="2">
        <v>518.139904</v>
      </c>
      <c r="Q41" s="20">
        <f t="shared" si="2"/>
        <v>476.32013942617328</v>
      </c>
      <c r="R41" s="26">
        <f t="shared" si="3"/>
        <v>6516.8788257815168</v>
      </c>
    </row>
    <row r="42" spans="3:18" x14ac:dyDescent="0.3">
      <c r="C42" s="2">
        <v>2013</v>
      </c>
      <c r="D42" s="2">
        <v>544.68164899999999</v>
      </c>
      <c r="Q42" s="20">
        <f t="shared" si="2"/>
        <v>508.18611428644977</v>
      </c>
      <c r="R42" s="26">
        <f t="shared" si="3"/>
        <v>7009.0080214016198</v>
      </c>
    </row>
    <row r="43" spans="3:18" x14ac:dyDescent="0.3">
      <c r="C43" s="2">
        <v>2014</v>
      </c>
      <c r="D43" s="2">
        <v>558.78795200000002</v>
      </c>
      <c r="Q43" s="20">
        <f t="shared" si="2"/>
        <v>541.52854504016852</v>
      </c>
      <c r="R43" s="26">
        <f t="shared" si="3"/>
        <v>7533.7433868299486</v>
      </c>
    </row>
    <row r="44" spans="3:18" x14ac:dyDescent="0.3">
      <c r="C44" s="2">
        <v>2015</v>
      </c>
      <c r="D44" s="2">
        <v>579.08886500000006</v>
      </c>
      <c r="Q44" s="20">
        <f t="shared" si="2"/>
        <v>576.31532819639017</v>
      </c>
      <c r="R44" s="26">
        <f t="shared" si="3"/>
        <v>8092.5467656378005</v>
      </c>
    </row>
    <row r="45" spans="3:18" x14ac:dyDescent="0.3">
      <c r="C45" s="2">
        <v>2016</v>
      </c>
      <c r="D45" s="2">
        <v>600.14757199999997</v>
      </c>
      <c r="Q45" s="20">
        <f t="shared" si="2"/>
        <v>612.49605982718651</v>
      </c>
      <c r="R45" s="26">
        <f t="shared" si="3"/>
        <v>8686.838918767593</v>
      </c>
    </row>
    <row r="46" spans="3:18" x14ac:dyDescent="0.3">
      <c r="C46" s="2">
        <v>2017</v>
      </c>
      <c r="D46" s="2">
        <v>627.21752200000003</v>
      </c>
      <c r="Q46" s="20">
        <f t="shared" si="2"/>
        <v>649.99999999999989</v>
      </c>
      <c r="R46" s="26">
        <f t="shared" si="3"/>
        <v>9317.9802027325168</v>
      </c>
    </row>
    <row r="47" spans="3:18" x14ac:dyDescent="0.3">
      <c r="C47" s="2">
        <v>2018</v>
      </c>
      <c r="D47" s="41">
        <v>650</v>
      </c>
      <c r="Q47" s="20">
        <f t="shared" si="2"/>
        <v>688.73411285531142</v>
      </c>
      <c r="R47" s="26">
        <f t="shared" si="3"/>
        <v>9987.2492444955151</v>
      </c>
    </row>
    <row r="48" spans="3:18" x14ac:dyDescent="0.3">
      <c r="C48" s="2">
        <v>2019</v>
      </c>
      <c r="D48" s="2"/>
      <c r="Q48" s="20">
        <f t="shared" si="2"/>
        <v>728.58125489072495</v>
      </c>
      <c r="R48" s="26">
        <f t="shared" si="3"/>
        <v>10695.819724017081</v>
      </c>
    </row>
    <row r="49" spans="3:18" x14ac:dyDescent="0.3">
      <c r="C49" s="2">
        <v>2020</v>
      </c>
      <c r="D49" s="2"/>
      <c r="Q49" s="20">
        <f t="shared" si="2"/>
        <v>769.39859484736064</v>
      </c>
      <c r="R49" s="26">
        <f t="shared" si="3"/>
        <v>11444.735453515692</v>
      </c>
    </row>
    <row r="50" spans="3:18" x14ac:dyDescent="0.3">
      <c r="C50" s="2">
        <v>2021</v>
      </c>
      <c r="D50" s="2"/>
      <c r="Q50" s="20">
        <f t="shared" si="2"/>
        <v>811.01635809084439</v>
      </c>
      <c r="R50" s="26">
        <f t="shared" si="3"/>
        <v>12234.884030777746</v>
      </c>
    </row>
    <row r="51" spans="3:18" x14ac:dyDescent="0.3">
      <c r="C51" s="2">
        <v>2022</v>
      </c>
      <c r="D51" s="2"/>
      <c r="Q51" s="20">
        <f t="shared" si="2"/>
        <v>853.23699558799012</v>
      </c>
      <c r="R51" s="26">
        <f t="shared" si="3"/>
        <v>13066.969440584202</v>
      </c>
    </row>
    <row r="52" spans="3:18" x14ac:dyDescent="0.3">
      <c r="C52" s="2">
        <v>2023</v>
      </c>
      <c r="D52" s="2"/>
      <c r="Q52" s="20">
        <f t="shared" si="2"/>
        <v>895.83488143657155</v>
      </c>
      <c r="R52" s="26">
        <f t="shared" si="3"/>
        <v>13941.484080676075</v>
      </c>
    </row>
    <row r="53" spans="3:18" x14ac:dyDescent="0.3">
      <c r="C53" s="2">
        <v>2024</v>
      </c>
      <c r="D53" s="2"/>
      <c r="Q53" s="20">
        <f t="shared" si="2"/>
        <v>938.5566422865104</v>
      </c>
      <c r="R53" s="26">
        <f t="shared" si="3"/>
        <v>14858.680792748821</v>
      </c>
    </row>
    <row r="54" spans="3:18" x14ac:dyDescent="0.3">
      <c r="C54" s="2">
        <v>2025</v>
      </c>
      <c r="D54" s="2"/>
      <c r="Q54" s="20">
        <f t="shared" si="2"/>
        <v>981.12221579952654</v>
      </c>
      <c r="R54" s="26">
        <f t="shared" si="3"/>
        <v>15818.545579715515</v>
      </c>
    </row>
    <row r="55" spans="3:18" x14ac:dyDescent="0.3">
      <c r="C55" s="2">
        <v>2026</v>
      </c>
      <c r="D55" s="2"/>
      <c r="Q55" s="20">
        <f t="shared" si="2"/>
        <v>1023.226722569781</v>
      </c>
      <c r="R55" s="26">
        <f t="shared" si="3"/>
        <v>16820.771781842213</v>
      </c>
    </row>
    <row r="56" spans="3:18" x14ac:dyDescent="0.3">
      <c r="C56" s="2">
        <v>2027</v>
      </c>
      <c r="D56" s="2"/>
      <c r="Q56" s="20">
        <f t="shared" si="2"/>
        <v>1064.5432159750019</v>
      </c>
      <c r="R56" s="26">
        <f t="shared" si="3"/>
        <v>17864.73655942651</v>
      </c>
    </row>
    <row r="57" spans="3:18" x14ac:dyDescent="0.3">
      <c r="C57" s="2">
        <v>2028</v>
      </c>
      <c r="D57" s="2"/>
      <c r="Q57" s="20">
        <f t="shared" si="2"/>
        <v>1104.7263469583609</v>
      </c>
      <c r="R57" s="26">
        <f t="shared" si="3"/>
        <v>18949.480581050095</v>
      </c>
    </row>
    <row r="58" spans="3:18" x14ac:dyDescent="0.3">
      <c r="C58" s="2">
        <v>2029</v>
      </c>
      <c r="D58" s="2"/>
      <c r="Q58" s="20">
        <f t="shared" si="2"/>
        <v>1143.4169460132828</v>
      </c>
      <c r="R58" s="26">
        <f t="shared" si="3"/>
        <v>20073.691836649883</v>
      </c>
    </row>
    <row r="59" spans="3:18" x14ac:dyDescent="0.3">
      <c r="C59" s="2">
        <v>2030</v>
      </c>
      <c r="D59" s="2"/>
      <c r="Q59" s="20">
        <f t="shared" si="2"/>
        <v>1180.2474835742751</v>
      </c>
      <c r="R59" s="26">
        <f t="shared" si="3"/>
        <v>21235.694476861048</v>
      </c>
    </row>
    <row r="60" spans="3:18" x14ac:dyDescent="0.3">
      <c r="C60" s="2">
        <v>2031</v>
      </c>
      <c r="D60" s="2"/>
      <c r="Q60" s="20">
        <f t="shared" si="2"/>
        <v>1214.848324254451</v>
      </c>
      <c r="R60" s="26">
        <f t="shared" si="3"/>
        <v>22433.443518709926</v>
      </c>
    </row>
    <row r="61" spans="3:18" x14ac:dyDescent="0.3">
      <c r="C61" s="2">
        <v>2032</v>
      </c>
      <c r="D61" s="2"/>
      <c r="Q61" s="20">
        <f t="shared" si="2"/>
        <v>1246.8546422955644</v>
      </c>
      <c r="R61" s="26">
        <f t="shared" si="3"/>
        <v>23664.526149213369</v>
      </c>
    </row>
    <row r="62" spans="3:18" x14ac:dyDescent="0.3">
      <c r="C62" s="2">
        <v>2033</v>
      </c>
      <c r="D62" s="2"/>
      <c r="Q62" s="20">
        <f t="shared" si="2"/>
        <v>1275.9138182395909</v>
      </c>
      <c r="R62" s="26">
        <f t="shared" si="3"/>
        <v>24926.170201928111</v>
      </c>
    </row>
    <row r="63" spans="3:18" x14ac:dyDescent="0.3">
      <c r="C63" s="2">
        <v>2034</v>
      </c>
      <c r="D63" s="2"/>
      <c r="Q63" s="20">
        <f t="shared" si="2"/>
        <v>1301.6930936944082</v>
      </c>
      <c r="R63" s="26">
        <f t="shared" si="3"/>
        <v>26215.260179429271</v>
      </c>
    </row>
    <row r="64" spans="3:18" x14ac:dyDescent="0.3">
      <c r="C64" s="2">
        <v>2035</v>
      </c>
      <c r="D64" s="2"/>
      <c r="Q64" s="20">
        <f t="shared" si="2"/>
        <v>1323.8872258520448</v>
      </c>
      <c r="R64" s="26">
        <f t="shared" si="3"/>
        <v>27528.360953148993</v>
      </c>
    </row>
    <row r="65" spans="3:18" x14ac:dyDescent="0.3">
      <c r="C65" s="2">
        <v>2036</v>
      </c>
      <c r="D65" s="2"/>
      <c r="Q65" s="20">
        <f t="shared" si="2"/>
        <v>1342.2258596814006</v>
      </c>
      <c r="R65" s="26">
        <f t="shared" si="3"/>
        <v>28861.749000703083</v>
      </c>
    </row>
    <row r="66" spans="3:18" x14ac:dyDescent="0.3">
      <c r="C66" s="2">
        <v>2037</v>
      </c>
      <c r="D66" s="2"/>
      <c r="Q66" s="20">
        <f t="shared" ref="Q66:Q79" si="4">(($T$2*$F$2*EXP(-$G$2*(C66-$H$2))*$G$2*($F$2-$T$2)))/((EXP(-$G$2*(C66-$H$2))*($F$2-$T$2)+$T$2)^2)</f>
        <v>1356.4803264778857</v>
      </c>
      <c r="R66" s="26">
        <f t="shared" ref="R66:R79" si="5">($F$2*$T$2)/(($F$2-$T$2)*EXP(-$G$2*(C66-$H$2))+$T$2)</f>
        <v>30211.450752823195</v>
      </c>
    </row>
    <row r="67" spans="3:18" x14ac:dyDescent="0.3">
      <c r="C67" s="2">
        <v>2038</v>
      </c>
      <c r="D67" s="2"/>
      <c r="Q67" s="20">
        <f t="shared" si="4"/>
        <v>1366.4695848104222</v>
      </c>
      <c r="R67" s="26">
        <f t="shared" si="5"/>
        <v>31573.287332933669</v>
      </c>
    </row>
    <row r="68" spans="3:18" x14ac:dyDescent="0.3">
      <c r="C68" s="2">
        <v>2039</v>
      </c>
      <c r="D68" s="2"/>
      <c r="Q68" s="20">
        <f t="shared" si="4"/>
        <v>1372.0650447184366</v>
      </c>
      <c r="R68" s="26">
        <f t="shared" si="5"/>
        <v>32942.92469940587</v>
      </c>
    </row>
    <row r="69" spans="3:18" x14ac:dyDescent="0.3">
      <c r="C69" s="2">
        <v>2040</v>
      </c>
      <c r="D69" s="2"/>
      <c r="Q69" s="20">
        <f t="shared" si="4"/>
        <v>1373.1940576791546</v>
      </c>
      <c r="R69" s="26">
        <f t="shared" si="5"/>
        <v>34315.927960870184</v>
      </c>
    </row>
    <row r="70" spans="3:18" x14ac:dyDescent="0.3">
      <c r="C70" s="2">
        <v>2041</v>
      </c>
      <c r="D70" s="2"/>
      <c r="Q70" s="20">
        <f t="shared" si="4"/>
        <v>1369.8419112769634</v>
      </c>
      <c r="R70" s="26">
        <f t="shared" si="5"/>
        <v>35687.818444589109</v>
      </c>
    </row>
    <row r="71" spans="3:18" x14ac:dyDescent="0.3">
      <c r="C71" s="2">
        <v>2042</v>
      </c>
      <c r="D71" s="2"/>
      <c r="Q71" s="20">
        <f t="shared" si="4"/>
        <v>1362.0522351574275</v>
      </c>
      <c r="R71" s="26">
        <f t="shared" si="5"/>
        <v>37054.131969894181</v>
      </c>
    </row>
    <row r="72" spans="3:18" x14ac:dyDescent="0.3">
      <c r="C72" s="2">
        <v>2043</v>
      </c>
      <c r="D72" s="2"/>
      <c r="Q72" s="20">
        <f t="shared" si="4"/>
        <v>1349.9257991349032</v>
      </c>
      <c r="R72" s="26">
        <f t="shared" si="5"/>
        <v>38410.476722074789</v>
      </c>
    </row>
    <row r="73" spans="3:18" x14ac:dyDescent="0.3">
      <c r="C73" s="2">
        <v>2044</v>
      </c>
      <c r="D73" s="2"/>
      <c r="Q73" s="20">
        <f t="shared" si="4"/>
        <v>1333.617759978169</v>
      </c>
      <c r="R73" s="26">
        <f t="shared" si="5"/>
        <v>39752.589140917094</v>
      </c>
    </row>
    <row r="74" spans="3:18" x14ac:dyDescent="0.3">
      <c r="C74" s="2">
        <v>2045</v>
      </c>
      <c r="D74" s="2"/>
      <c r="Q74" s="20">
        <f t="shared" si="4"/>
        <v>1313.3334850187603</v>
      </c>
      <c r="R74" s="26">
        <f t="shared" si="5"/>
        <v>41076.386330980597</v>
      </c>
    </row>
    <row r="75" spans="3:18" x14ac:dyDescent="0.3">
      <c r="C75" s="2">
        <v>2046</v>
      </c>
      <c r="D75" s="2"/>
      <c r="Q75" s="20">
        <f t="shared" si="4"/>
        <v>1289.32314331267</v>
      </c>
      <c r="R75" s="26">
        <f t="shared" si="5"/>
        <v>42378.013661078367</v>
      </c>
    </row>
    <row r="76" spans="3:18" x14ac:dyDescent="0.3">
      <c r="C76" s="2">
        <v>2047</v>
      </c>
      <c r="D76" s="2"/>
      <c r="Q76" s="20">
        <f t="shared" si="4"/>
        <v>1261.8753045331971</v>
      </c>
      <c r="R76" s="26">
        <f t="shared" si="5"/>
        <v>43653.88643711574</v>
      </c>
    </row>
    <row r="77" spans="3:18" x14ac:dyDescent="0.3">
      <c r="C77" s="2">
        <v>2048</v>
      </c>
      <c r="D77" s="2"/>
      <c r="Q77" s="20">
        <f t="shared" si="4"/>
        <v>1231.3098192416767</v>
      </c>
      <c r="R77" s="26">
        <f t="shared" si="5"/>
        <v>44900.724790766522</v>
      </c>
    </row>
    <row r="78" spans="3:18" x14ac:dyDescent="0.3">
      <c r="C78" s="2">
        <v>2049</v>
      </c>
      <c r="D78" s="2"/>
      <c r="Q78" s="20">
        <f t="shared" si="4"/>
        <v>1197.9702703095643</v>
      </c>
      <c r="R78" s="26">
        <f t="shared" si="5"/>
        <v>46115.581209637356</v>
      </c>
    </row>
    <row r="79" spans="3:18" x14ac:dyDescent="0.3">
      <c r="C79" s="2">
        <v>2050</v>
      </c>
      <c r="D79" s="2"/>
      <c r="Q79" s="20">
        <f t="shared" si="4"/>
        <v>1162.21628419129</v>
      </c>
      <c r="R79" s="26">
        <f t="shared" si="5"/>
        <v>47295.860425196959</v>
      </c>
    </row>
    <row r="80" spans="3:18" x14ac:dyDescent="0.3">
      <c r="C80" s="2"/>
      <c r="D80" s="2"/>
      <c r="Q80" s="20"/>
    </row>
    <row r="81" spans="3:17" x14ac:dyDescent="0.3">
      <c r="C81" s="2"/>
      <c r="D81" s="2"/>
      <c r="Q81" s="20"/>
    </row>
    <row r="82" spans="3:17" x14ac:dyDescent="0.3">
      <c r="C82" s="2"/>
      <c r="D82" s="2"/>
      <c r="Q82" s="20"/>
    </row>
    <row r="83" spans="3:17" x14ac:dyDescent="0.3">
      <c r="Q83" s="20"/>
    </row>
    <row r="84" spans="3:17" x14ac:dyDescent="0.3">
      <c r="Q84" s="20"/>
    </row>
    <row r="85" spans="3:17" x14ac:dyDescent="0.3">
      <c r="Q85" s="20"/>
    </row>
    <row r="86" spans="3:17" x14ac:dyDescent="0.3">
      <c r="Q86" s="20"/>
    </row>
    <row r="87" spans="3:17" x14ac:dyDescent="0.3">
      <c r="Q87" s="20"/>
    </row>
    <row r="88" spans="3:17" x14ac:dyDescent="0.3">
      <c r="Q88" s="20"/>
    </row>
    <row r="89" spans="3:17" x14ac:dyDescent="0.3">
      <c r="Q89" s="20"/>
    </row>
    <row r="90" spans="3:17" x14ac:dyDescent="0.3">
      <c r="Q90" s="20"/>
    </row>
    <row r="91" spans="3:17" x14ac:dyDescent="0.3">
      <c r="Q91" s="20"/>
    </row>
    <row r="92" spans="3:17" x14ac:dyDescent="0.3">
      <c r="Q92" s="20"/>
    </row>
    <row r="93" spans="3:17" x14ac:dyDescent="0.3">
      <c r="Q93" s="20"/>
    </row>
    <row r="94" spans="3:17" x14ac:dyDescent="0.3">
      <c r="Q94" s="20"/>
    </row>
    <row r="95" spans="3:17" x14ac:dyDescent="0.3">
      <c r="Q95" s="20"/>
    </row>
    <row r="96" spans="3:17" x14ac:dyDescent="0.3">
      <c r="Q96" s="20"/>
    </row>
    <row r="97" spans="17:17" x14ac:dyDescent="0.3">
      <c r="Q97" s="20"/>
    </row>
    <row r="98" spans="17:17" x14ac:dyDescent="0.3">
      <c r="Q98" s="20"/>
    </row>
    <row r="99" spans="17:17" x14ac:dyDescent="0.3">
      <c r="Q99" s="20"/>
    </row>
    <row r="100" spans="17:17" x14ac:dyDescent="0.3">
      <c r="Q100" s="20"/>
    </row>
    <row r="101" spans="17:17" x14ac:dyDescent="0.3">
      <c r="Q101" s="20"/>
    </row>
    <row r="102" spans="17:17" x14ac:dyDescent="0.3">
      <c r="Q102" s="20"/>
    </row>
    <row r="103" spans="17:17" x14ac:dyDescent="0.3">
      <c r="Q103" s="20"/>
    </row>
    <row r="104" spans="17:17" x14ac:dyDescent="0.3">
      <c r="Q104" s="20"/>
    </row>
    <row r="105" spans="17:17" x14ac:dyDescent="0.3">
      <c r="Q105" s="20"/>
    </row>
    <row r="106" spans="17:17" x14ac:dyDescent="0.3">
      <c r="Q106" s="20"/>
    </row>
    <row r="107" spans="17:17" x14ac:dyDescent="0.3">
      <c r="Q107" s="20"/>
    </row>
    <row r="108" spans="17:17" x14ac:dyDescent="0.3">
      <c r="Q108" s="20"/>
    </row>
    <row r="109" spans="17:17" x14ac:dyDescent="0.3">
      <c r="Q109" s="20"/>
    </row>
    <row r="110" spans="17:17" x14ac:dyDescent="0.3">
      <c r="Q110" s="20"/>
    </row>
    <row r="111" spans="17:17" x14ac:dyDescent="0.3">
      <c r="Q111" s="20"/>
    </row>
    <row r="112" spans="17:17" x14ac:dyDescent="0.3">
      <c r="Q112" s="20"/>
    </row>
    <row r="113" spans="17:17" x14ac:dyDescent="0.3">
      <c r="Q113" s="20"/>
    </row>
    <row r="114" spans="17:17" x14ac:dyDescent="0.3">
      <c r="Q114" s="20"/>
    </row>
    <row r="115" spans="17:17" x14ac:dyDescent="0.3">
      <c r="Q115" s="20"/>
    </row>
    <row r="116" spans="17:17" x14ac:dyDescent="0.3">
      <c r="Q116" s="20"/>
    </row>
    <row r="117" spans="17:17" x14ac:dyDescent="0.3">
      <c r="Q117" s="20"/>
    </row>
    <row r="118" spans="17:17" x14ac:dyDescent="0.3">
      <c r="Q118" s="20"/>
    </row>
    <row r="119" spans="17:17" x14ac:dyDescent="0.3">
      <c r="Q119" s="20"/>
    </row>
    <row r="120" spans="17:17" x14ac:dyDescent="0.3">
      <c r="Q120" s="20"/>
    </row>
    <row r="121" spans="17:17" x14ac:dyDescent="0.3">
      <c r="Q121" s="20"/>
    </row>
    <row r="122" spans="17:17" x14ac:dyDescent="0.3">
      <c r="Q122" s="20"/>
    </row>
    <row r="123" spans="17:17" x14ac:dyDescent="0.3">
      <c r="Q123" s="20"/>
    </row>
    <row r="124" spans="17:17" x14ac:dyDescent="0.3">
      <c r="Q124" s="20"/>
    </row>
    <row r="125" spans="17:17" x14ac:dyDescent="0.3">
      <c r="Q125" s="20"/>
    </row>
    <row r="126" spans="17:17" x14ac:dyDescent="0.3">
      <c r="Q126" s="20"/>
    </row>
    <row r="127" spans="17:17" x14ac:dyDescent="0.3">
      <c r="Q127" s="20"/>
    </row>
    <row r="128" spans="17:17" x14ac:dyDescent="0.3">
      <c r="Q128" s="20"/>
    </row>
    <row r="129" spans="17:17" x14ac:dyDescent="0.3">
      <c r="Q129" s="20"/>
    </row>
    <row r="130" spans="17:17" x14ac:dyDescent="0.3">
      <c r="Q130" s="20"/>
    </row>
    <row r="131" spans="17:17" x14ac:dyDescent="0.3">
      <c r="Q131" s="20"/>
    </row>
    <row r="132" spans="17:17" x14ac:dyDescent="0.3">
      <c r="Q132" s="20"/>
    </row>
    <row r="133" spans="17:17" x14ac:dyDescent="0.3">
      <c r="Q133" s="20"/>
    </row>
    <row r="134" spans="17:17" x14ac:dyDescent="0.3">
      <c r="Q134" s="20"/>
    </row>
    <row r="135" spans="17:17" x14ac:dyDescent="0.3">
      <c r="Q135" s="20"/>
    </row>
    <row r="136" spans="17:17" x14ac:dyDescent="0.3">
      <c r="Q136" s="20"/>
    </row>
    <row r="137" spans="17:17" x14ac:dyDescent="0.3">
      <c r="Q137" s="20"/>
    </row>
    <row r="138" spans="17:17" x14ac:dyDescent="0.3">
      <c r="Q138" s="20"/>
    </row>
    <row r="139" spans="17:17" x14ac:dyDescent="0.3">
      <c r="Q139" s="20"/>
    </row>
    <row r="140" spans="17:17" x14ac:dyDescent="0.3">
      <c r="Q140" s="20"/>
    </row>
    <row r="141" spans="17:17" x14ac:dyDescent="0.3">
      <c r="Q141" s="20"/>
    </row>
    <row r="142" spans="17:17" x14ac:dyDescent="0.3">
      <c r="Q142" s="20"/>
    </row>
    <row r="143" spans="17:17" x14ac:dyDescent="0.3">
      <c r="Q143" s="20"/>
    </row>
    <row r="144" spans="17:17" x14ac:dyDescent="0.3">
      <c r="Q144" s="20"/>
    </row>
    <row r="145" spans="17:17" x14ac:dyDescent="0.3">
      <c r="Q145" s="20"/>
    </row>
    <row r="146" spans="17:17" x14ac:dyDescent="0.3">
      <c r="Q146" s="20"/>
    </row>
    <row r="147" spans="17:17" x14ac:dyDescent="0.3">
      <c r="Q147" s="20"/>
    </row>
    <row r="148" spans="17:17" x14ac:dyDescent="0.3">
      <c r="Q148" s="20"/>
    </row>
    <row r="149" spans="17:17" x14ac:dyDescent="0.3">
      <c r="Q149" s="20"/>
    </row>
    <row r="150" spans="17:17" x14ac:dyDescent="0.3">
      <c r="Q150" s="20"/>
    </row>
  </sheetData>
  <mergeCells count="3">
    <mergeCell ref="A1:B29"/>
    <mergeCell ref="N1:P29"/>
    <mergeCell ref="G13:K15"/>
  </mergeCell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9C800-F794-47CF-8DBD-B3F7FA10ECE6}">
  <sheetPr codeName="Sheet9"/>
  <dimension ref="A1:V150"/>
  <sheetViews>
    <sheetView topLeftCell="A22" zoomScale="90" zoomScaleNormal="90" workbookViewId="0">
      <selection activeCell="D50" sqref="D50"/>
    </sheetView>
  </sheetViews>
  <sheetFormatPr defaultRowHeight="14.4" x14ac:dyDescent="0.3"/>
  <cols>
    <col min="3" max="3" width="8.88671875" style="17"/>
    <col min="4" max="4" width="9.33203125" style="17" customWidth="1"/>
    <col min="10" max="10" width="14.88671875" bestFit="1" customWidth="1"/>
    <col min="14" max="16" width="8.88671875" style="1"/>
    <col min="17" max="17" width="8.88671875" style="21"/>
    <col min="18" max="18" width="9.21875" style="26" customWidth="1"/>
  </cols>
  <sheetData>
    <row r="1" spans="1:22" ht="15.6" x14ac:dyDescent="0.3">
      <c r="A1" s="59" t="s">
        <v>13</v>
      </c>
      <c r="B1" s="60"/>
      <c r="C1" s="18" t="s">
        <v>15</v>
      </c>
      <c r="D1" s="18" t="s">
        <v>50</v>
      </c>
      <c r="F1" s="2" t="s">
        <v>19</v>
      </c>
      <c r="G1" s="2" t="s">
        <v>18</v>
      </c>
      <c r="H1" s="2" t="s">
        <v>27</v>
      </c>
      <c r="J1" s="15" t="s">
        <v>51</v>
      </c>
      <c r="N1" s="65" t="s">
        <v>14</v>
      </c>
      <c r="O1" s="66"/>
      <c r="P1" s="67"/>
      <c r="Q1" s="19" t="s">
        <v>28</v>
      </c>
      <c r="R1" s="25" t="s">
        <v>62</v>
      </c>
      <c r="T1" s="5" t="s">
        <v>23</v>
      </c>
      <c r="U1" s="5" t="s">
        <v>24</v>
      </c>
    </row>
    <row r="2" spans="1:22" ht="15.6" customHeight="1" x14ac:dyDescent="0.3">
      <c r="A2" s="61"/>
      <c r="B2" s="74"/>
      <c r="C2" s="4">
        <v>1970</v>
      </c>
      <c r="D2" s="2">
        <v>103.167730932667</v>
      </c>
      <c r="F2" s="2">
        <v>18980.918623636826</v>
      </c>
      <c r="G2" s="3">
        <v>8.4169552317121338E-2</v>
      </c>
      <c r="H2" s="2">
        <v>2018</v>
      </c>
      <c r="J2" s="22">
        <f>D50</f>
        <v>250.67048865214244</v>
      </c>
      <c r="N2" s="68"/>
      <c r="O2" s="69"/>
      <c r="P2" s="70"/>
      <c r="Q2" s="20">
        <f t="shared" ref="Q2:Q65" si="0">(($T$2*$F$2*EXP(-$G$2*(C2-$H$2))*$G$2*($F$2-$T$2)))/((EXP(-$G$2*(C2-$H$2))*($F$2-$T$2)+$T$2)^2)</f>
        <v>100.92568588446375</v>
      </c>
      <c r="R2" s="26">
        <f t="shared" ref="R2:R65" si="1">($F$2*$T$2)/(($F$2-$T$2)*EXP(-$G$2*(C2-$H$2))+$T$2)</f>
        <v>1286.2375374167825</v>
      </c>
      <c r="T2" s="5">
        <f>F2/2*(1+SQRT(1-(4*J2)/(F2*G2)))</f>
        <v>15281.882623942729</v>
      </c>
      <c r="U2" s="5">
        <f>SUM((Q2:Q50-D2:D50)^2)/SUM((D2:D50)^2)</f>
        <v>4.722814752967269E-4</v>
      </c>
    </row>
    <row r="3" spans="1:22" x14ac:dyDescent="0.3">
      <c r="A3" s="61"/>
      <c r="B3" s="74"/>
      <c r="C3" s="4">
        <v>1971</v>
      </c>
      <c r="D3" s="2">
        <v>126.21613669833329</v>
      </c>
      <c r="N3" s="68"/>
      <c r="O3" s="69"/>
      <c r="P3" s="70"/>
      <c r="Q3" s="20">
        <f t="shared" si="0"/>
        <v>108.49325303504028</v>
      </c>
      <c r="R3" s="26">
        <f t="shared" si="1"/>
        <v>1390.9095106365373</v>
      </c>
      <c r="V3" t="s">
        <v>25</v>
      </c>
    </row>
    <row r="4" spans="1:22" x14ac:dyDescent="0.3">
      <c r="A4" s="61"/>
      <c r="B4" s="74"/>
      <c r="C4" s="4">
        <v>1972</v>
      </c>
      <c r="D4" s="2">
        <v>152.57600056544439</v>
      </c>
      <c r="F4" t="s">
        <v>16</v>
      </c>
      <c r="N4" s="68"/>
      <c r="O4" s="69"/>
      <c r="P4" s="70"/>
      <c r="Q4" s="20">
        <f t="shared" si="0"/>
        <v>116.51604203506885</v>
      </c>
      <c r="R4" s="26">
        <f t="shared" si="1"/>
        <v>1503.3758134081138</v>
      </c>
      <c r="V4" t="s">
        <v>26</v>
      </c>
    </row>
    <row r="5" spans="1:22" x14ac:dyDescent="0.3">
      <c r="A5" s="61"/>
      <c r="B5" s="74"/>
      <c r="C5" s="4">
        <v>1973</v>
      </c>
      <c r="D5" s="2">
        <v>171.83859157055548</v>
      </c>
      <c r="N5" s="68"/>
      <c r="O5" s="69"/>
      <c r="P5" s="70"/>
      <c r="Q5" s="20">
        <f t="shared" si="0"/>
        <v>125.00281190528526</v>
      </c>
      <c r="R5" s="26">
        <f t="shared" si="1"/>
        <v>1624.0962907388255</v>
      </c>
      <c r="T5" s="33"/>
    </row>
    <row r="6" spans="1:22" x14ac:dyDescent="0.3">
      <c r="A6" s="61"/>
      <c r="B6" s="74"/>
      <c r="C6" s="4">
        <v>1974</v>
      </c>
      <c r="D6" s="2">
        <v>191.89116937166659</v>
      </c>
      <c r="F6" t="s">
        <v>17</v>
      </c>
      <c r="N6" s="68"/>
      <c r="O6" s="69"/>
      <c r="P6" s="70"/>
      <c r="Q6" s="20">
        <f t="shared" si="0"/>
        <v>133.95909894881157</v>
      </c>
      <c r="R6" s="26">
        <f t="shared" si="1"/>
        <v>1753.5379856749341</v>
      </c>
    </row>
    <row r="7" spans="1:22" x14ac:dyDescent="0.3">
      <c r="A7" s="61"/>
      <c r="B7" s="74"/>
      <c r="C7" s="4">
        <v>1975</v>
      </c>
      <c r="D7" s="2">
        <v>200.22015784233326</v>
      </c>
      <c r="N7" s="68"/>
      <c r="O7" s="69"/>
      <c r="P7" s="70"/>
      <c r="Q7" s="20">
        <f t="shared" si="0"/>
        <v>143.38658841554502</v>
      </c>
      <c r="R7" s="26">
        <f t="shared" si="1"/>
        <v>1892.1716063155595</v>
      </c>
    </row>
    <row r="8" spans="1:22" x14ac:dyDescent="0.3">
      <c r="A8" s="61"/>
      <c r="B8" s="74"/>
      <c r="C8" s="4">
        <v>1976</v>
      </c>
      <c r="D8" s="2">
        <v>213.57625187233327</v>
      </c>
      <c r="F8" t="s">
        <v>22</v>
      </c>
      <c r="N8" s="68"/>
      <c r="O8" s="69"/>
      <c r="P8" s="70"/>
      <c r="Q8" s="20">
        <f t="shared" si="0"/>
        <v>153.28244306568658</v>
      </c>
      <c r="R8" s="26">
        <f t="shared" si="1"/>
        <v>2040.4673422894989</v>
      </c>
    </row>
    <row r="9" spans="1:22" x14ac:dyDescent="0.3">
      <c r="A9" s="61"/>
      <c r="B9" s="74"/>
      <c r="C9" s="4">
        <v>1977</v>
      </c>
      <c r="D9" s="2">
        <v>219.48760356111103</v>
      </c>
      <c r="F9" t="s">
        <v>20</v>
      </c>
      <c r="N9" s="68"/>
      <c r="O9" s="69"/>
      <c r="P9" s="70"/>
      <c r="Q9" s="20">
        <f t="shared" si="0"/>
        <v>163.63859815015172</v>
      </c>
      <c r="R9" s="26">
        <f t="shared" si="1"/>
        <v>2198.8899920633148</v>
      </c>
    </row>
    <row r="10" spans="1:22" x14ac:dyDescent="0.3">
      <c r="A10" s="61"/>
      <c r="B10" s="74"/>
      <c r="C10" s="4">
        <v>1978</v>
      </c>
      <c r="D10" s="2">
        <v>224.33351943983328</v>
      </c>
      <c r="F10" t="s">
        <v>21</v>
      </c>
      <c r="N10" s="68"/>
      <c r="O10" s="69"/>
      <c r="P10" s="70"/>
      <c r="Q10" s="20">
        <f t="shared" si="0"/>
        <v>174.44103603792502</v>
      </c>
      <c r="R10" s="26">
        <f t="shared" si="1"/>
        <v>2367.8933737842185</v>
      </c>
    </row>
    <row r="11" spans="1:22" ht="15" thickBot="1" x14ac:dyDescent="0.35">
      <c r="A11" s="61"/>
      <c r="B11" s="74"/>
      <c r="C11" s="4">
        <v>1979</v>
      </c>
      <c r="D11" s="2">
        <v>231.99470057216661</v>
      </c>
      <c r="N11" s="68"/>
      <c r="O11" s="69"/>
      <c r="P11" s="70"/>
      <c r="Q11" s="20">
        <f t="shared" si="0"/>
        <v>185.66905785633557</v>
      </c>
      <c r="R11" s="26">
        <f t="shared" si="1"/>
        <v>2547.9140076280237</v>
      </c>
    </row>
    <row r="12" spans="1:22" x14ac:dyDescent="0.3">
      <c r="A12" s="61"/>
      <c r="B12" s="74"/>
      <c r="C12" s="4">
        <v>1980</v>
      </c>
      <c r="D12" s="2">
        <v>228.37388560994441</v>
      </c>
      <c r="F12" s="76" t="s">
        <v>65</v>
      </c>
      <c r="G12" s="77"/>
      <c r="H12" s="77"/>
      <c r="I12" s="77"/>
      <c r="J12" s="78"/>
      <c r="N12" s="68"/>
      <c r="O12" s="69"/>
      <c r="P12" s="70"/>
      <c r="Q12" s="20">
        <f t="shared" si="0"/>
        <v>197.29457395357642</v>
      </c>
      <c r="R12" s="26">
        <f t="shared" si="1"/>
        <v>2739.3640771908417</v>
      </c>
    </row>
    <row r="13" spans="1:22" x14ac:dyDescent="0.3">
      <c r="A13" s="61"/>
      <c r="B13" s="74"/>
      <c r="C13" s="4">
        <v>1981</v>
      </c>
      <c r="D13" s="2">
        <v>224.76858516422215</v>
      </c>
      <c r="F13" s="79"/>
      <c r="G13" s="80"/>
      <c r="H13" s="80"/>
      <c r="I13" s="80"/>
      <c r="J13" s="81"/>
      <c r="N13" s="68"/>
      <c r="O13" s="69"/>
      <c r="P13" s="70"/>
      <c r="Q13" s="20">
        <f t="shared" si="0"/>
        <v>209.2814395644078</v>
      </c>
      <c r="R13" s="26">
        <f t="shared" si="1"/>
        <v>2942.6237015569636</v>
      </c>
    </row>
    <row r="14" spans="1:22" ht="15" thickBot="1" x14ac:dyDescent="0.35">
      <c r="A14" s="61"/>
      <c r="B14" s="74"/>
      <c r="C14" s="4">
        <v>1982</v>
      </c>
      <c r="D14" s="2">
        <v>213.28486231572219</v>
      </c>
      <c r="F14" s="82"/>
      <c r="G14" s="83"/>
      <c r="H14" s="83"/>
      <c r="I14" s="83"/>
      <c r="J14" s="84"/>
      <c r="N14" s="68"/>
      <c r="O14" s="69"/>
      <c r="P14" s="70"/>
      <c r="Q14" s="20">
        <f t="shared" si="0"/>
        <v>221.58486650999004</v>
      </c>
      <c r="R14" s="26">
        <f t="shared" si="1"/>
        <v>3158.0325783038061</v>
      </c>
    </row>
    <row r="15" spans="1:22" x14ac:dyDescent="0.3">
      <c r="A15" s="61"/>
      <c r="B15" s="74"/>
      <c r="C15" s="4">
        <v>1983</v>
      </c>
      <c r="D15" s="2">
        <v>218.07424444833327</v>
      </c>
      <c r="N15" s="68"/>
      <c r="O15" s="69"/>
      <c r="P15" s="70"/>
      <c r="Q15" s="20">
        <f t="shared" si="0"/>
        <v>234.15094576747512</v>
      </c>
      <c r="R15" s="26">
        <f t="shared" si="1"/>
        <v>3385.8810905905789</v>
      </c>
    </row>
    <row r="16" spans="1:22" x14ac:dyDescent="0.3">
      <c r="A16" s="61"/>
      <c r="B16" s="74"/>
      <c r="C16" s="4">
        <v>1984</v>
      </c>
      <c r="D16" s="2">
        <v>221.55698469616664</v>
      </c>
      <c r="N16" s="68"/>
      <c r="O16" s="69"/>
      <c r="P16" s="70"/>
      <c r="Q16" s="20">
        <f t="shared" si="0"/>
        <v>246.91631891036343</v>
      </c>
      <c r="R16" s="26">
        <f t="shared" si="1"/>
        <v>3626.4010079837094</v>
      </c>
    </row>
    <row r="17" spans="1:18" x14ac:dyDescent="0.3">
      <c r="A17" s="61"/>
      <c r="B17" s="74"/>
      <c r="C17" s="4">
        <v>1985</v>
      </c>
      <c r="D17" s="2">
        <v>269.85705650210224</v>
      </c>
      <c r="N17" s="68"/>
      <c r="O17" s="69"/>
      <c r="P17" s="70"/>
      <c r="Q17" s="20">
        <f t="shared" si="0"/>
        <v>259.80803829530191</v>
      </c>
      <c r="R17" s="26">
        <f t="shared" si="1"/>
        <v>3879.7559497378429</v>
      </c>
    </row>
    <row r="18" spans="1:18" x14ac:dyDescent="0.3">
      <c r="A18" s="61"/>
      <c r="B18" s="74"/>
      <c r="C18" s="4">
        <v>1986</v>
      </c>
      <c r="D18" s="2">
        <v>261.16416162745372</v>
      </c>
      <c r="N18" s="68"/>
      <c r="O18" s="69"/>
      <c r="P18" s="70"/>
      <c r="Q18" s="20">
        <f t="shared" si="0"/>
        <v>272.74365597029868</v>
      </c>
      <c r="R18" s="26">
        <f t="shared" si="1"/>
        <v>4146.031819345003</v>
      </c>
    </row>
    <row r="19" spans="1:18" x14ac:dyDescent="0.3">
      <c r="A19" s="61"/>
      <c r="B19" s="74"/>
      <c r="C19" s="4">
        <v>1987</v>
      </c>
      <c r="D19" s="2">
        <v>262.55526160265583</v>
      </c>
      <c r="N19" s="68"/>
      <c r="O19" s="69"/>
      <c r="P19" s="70"/>
      <c r="Q19" s="20">
        <f t="shared" si="0"/>
        <v>285.63157912219339</v>
      </c>
      <c r="R19" s="26">
        <f t="shared" si="1"/>
        <v>4425.2274582679374</v>
      </c>
    </row>
    <row r="20" spans="1:18" x14ac:dyDescent="0.3">
      <c r="A20" s="61"/>
      <c r="B20" s="74"/>
      <c r="C20" s="4">
        <v>1988</v>
      </c>
      <c r="D20" s="2">
        <v>248.87220972817695</v>
      </c>
      <c r="N20" s="68"/>
      <c r="O20" s="69"/>
      <c r="P20" s="70"/>
      <c r="Q20" s="20">
        <f t="shared" si="0"/>
        <v>298.37172503974438</v>
      </c>
      <c r="R20" s="26">
        <f t="shared" si="1"/>
        <v>4717.2458024098878</v>
      </c>
    </row>
    <row r="21" spans="1:18" x14ac:dyDescent="0.3">
      <c r="A21" s="61"/>
      <c r="B21" s="74"/>
      <c r="C21" s="4">
        <v>1989</v>
      </c>
      <c r="D21" s="2">
        <v>250.76058216698377</v>
      </c>
      <c r="N21" s="68"/>
      <c r="O21" s="69"/>
      <c r="P21" s="70"/>
      <c r="Q21" s="20">
        <f t="shared" si="0"/>
        <v>310.85650072820567</v>
      </c>
      <c r="R21" s="26">
        <f t="shared" si="1"/>
        <v>5021.8858541879072</v>
      </c>
    </row>
    <row r="22" spans="1:18" x14ac:dyDescent="0.3">
      <c r="A22" s="61"/>
      <c r="B22" s="74"/>
      <c r="C22" s="4">
        <v>1990</v>
      </c>
      <c r="D22" s="2">
        <v>245.50491536869259</v>
      </c>
      <c r="N22" s="68"/>
      <c r="O22" s="69"/>
      <c r="P22" s="70"/>
      <c r="Q22" s="20">
        <f t="shared" si="0"/>
        <v>322.97212133657689</v>
      </c>
      <c r="R22" s="26">
        <f t="shared" si="1"/>
        <v>5338.8358029861683</v>
      </c>
    </row>
    <row r="23" spans="1:18" x14ac:dyDescent="0.3">
      <c r="A23" s="61"/>
      <c r="B23" s="74"/>
      <c r="C23" s="4">
        <v>1991</v>
      </c>
      <c r="D23" s="2">
        <v>252.17942819767157</v>
      </c>
      <c r="N23" s="68"/>
      <c r="O23" s="69"/>
      <c r="P23" s="70"/>
      <c r="Q23" s="20">
        <f t="shared" si="0"/>
        <v>334.60026755910582</v>
      </c>
      <c r="R23" s="26">
        <f t="shared" si="1"/>
        <v>5667.6676341671719</v>
      </c>
    </row>
    <row r="24" spans="1:18" x14ac:dyDescent="0.3">
      <c r="A24" s="61"/>
      <c r="B24" s="74"/>
      <c r="C24" s="4">
        <v>1992</v>
      </c>
      <c r="D24" s="2">
        <v>248.46162946550436</v>
      </c>
      <c r="N24" s="68"/>
      <c r="O24" s="69"/>
      <c r="P24" s="70"/>
      <c r="Q24" s="20">
        <f t="shared" si="0"/>
        <v>345.62006555586771</v>
      </c>
      <c r="R24" s="26">
        <f t="shared" si="1"/>
        <v>6007.8335588643222</v>
      </c>
    </row>
    <row r="25" spans="1:18" x14ac:dyDescent="0.3">
      <c r="A25" s="61"/>
      <c r="B25" s="74"/>
      <c r="C25" s="4">
        <v>1993</v>
      </c>
      <c r="D25" s="2">
        <v>257.6353826284676</v>
      </c>
      <c r="N25" s="68"/>
      <c r="O25" s="69"/>
      <c r="P25" s="70"/>
      <c r="Q25" s="20">
        <f t="shared" si="0"/>
        <v>355.91035444162225</v>
      </c>
      <c r="R25" s="26">
        <f t="shared" si="1"/>
        <v>6358.6645711934334</v>
      </c>
    </row>
    <row r="26" spans="1:18" x14ac:dyDescent="0.3">
      <c r="A26" s="61"/>
      <c r="B26" s="74"/>
      <c r="C26" s="4">
        <v>1994</v>
      </c>
      <c r="D26" s="2">
        <v>257.62330166188144</v>
      </c>
      <c r="N26" s="68"/>
      <c r="O26" s="69"/>
      <c r="P26" s="70"/>
      <c r="Q26" s="20">
        <f t="shared" si="0"/>
        <v>365.35218708482046</v>
      </c>
      <c r="R26" s="26">
        <f t="shared" si="1"/>
        <v>6719.3713949312296</v>
      </c>
    </row>
    <row r="27" spans="1:18" x14ac:dyDescent="0.3">
      <c r="A27" s="61"/>
      <c r="B27" s="74"/>
      <c r="C27" s="4">
        <v>1995</v>
      </c>
      <c r="D27" s="2">
        <v>265.9435905208959</v>
      </c>
      <c r="N27" s="68"/>
      <c r="O27" s="69"/>
      <c r="P27" s="70"/>
      <c r="Q27" s="20">
        <f t="shared" si="0"/>
        <v>373.83149119184236</v>
      </c>
      <c r="R27" s="26">
        <f t="shared" si="1"/>
        <v>7089.0480179601345</v>
      </c>
    </row>
    <row r="28" spans="1:18" ht="15" thickBot="1" x14ac:dyDescent="0.35">
      <c r="A28" s="61"/>
      <c r="B28" s="74"/>
      <c r="C28" s="4">
        <v>1996</v>
      </c>
      <c r="D28" s="9">
        <v>300.46225028811483</v>
      </c>
      <c r="N28" s="68"/>
      <c r="O28" s="69"/>
      <c r="P28" s="70"/>
      <c r="Q28" s="20">
        <f t="shared" si="0"/>
        <v>381.2418009716946</v>
      </c>
      <c r="R28" s="26">
        <f t="shared" si="1"/>
        <v>7466.6779311724813</v>
      </c>
    </row>
    <row r="29" spans="1:18" ht="15" thickBot="1" x14ac:dyDescent="0.35">
      <c r="A29" s="63"/>
      <c r="B29" s="75"/>
      <c r="C29" s="10">
        <v>1997</v>
      </c>
      <c r="D29" s="8">
        <v>296.29050105452285</v>
      </c>
      <c r="N29" s="71"/>
      <c r="O29" s="72"/>
      <c r="P29" s="73"/>
      <c r="Q29" s="20">
        <f t="shared" si="0"/>
        <v>387.48695668888672</v>
      </c>
      <c r="R29" s="26">
        <f t="shared" si="1"/>
        <v>7851.143091955897</v>
      </c>
    </row>
    <row r="30" spans="1:18" x14ac:dyDescent="0.3">
      <c r="C30" s="2">
        <v>1998</v>
      </c>
      <c r="D30" s="7">
        <v>295.71436645728403</v>
      </c>
      <c r="Q30" s="20">
        <f t="shared" si="0"/>
        <v>392.4836616122065</v>
      </c>
      <c r="R30" s="26">
        <f t="shared" si="1"/>
        <v>8241.2355253009173</v>
      </c>
    </row>
    <row r="31" spans="1:18" x14ac:dyDescent="0.3">
      <c r="C31" s="2">
        <v>1999</v>
      </c>
      <c r="D31" s="2">
        <v>304.02819831478695</v>
      </c>
      <c r="Q31" s="20">
        <f t="shared" si="0"/>
        <v>396.16378445561747</v>
      </c>
      <c r="R31" s="26">
        <f t="shared" si="1"/>
        <v>8635.6713638027068</v>
      </c>
    </row>
    <row r="32" spans="1:18" x14ac:dyDescent="0.3">
      <c r="C32" s="2">
        <v>2000</v>
      </c>
      <c r="D32" s="2">
        <v>311.42324798166226</v>
      </c>
      <c r="Q32" s="20">
        <f t="shared" si="0"/>
        <v>398.47630111716592</v>
      </c>
      <c r="R32" s="26">
        <f t="shared" si="1"/>
        <v>9033.1070181709783</v>
      </c>
    </row>
    <row r="33" spans="3:18" x14ac:dyDescent="0.3">
      <c r="C33" s="2">
        <v>2001</v>
      </c>
      <c r="D33" s="2">
        <v>314.93713692082571</v>
      </c>
      <c r="Q33" s="20">
        <f t="shared" si="0"/>
        <v>399.38878248110404</v>
      </c>
      <c r="R33" s="26">
        <f t="shared" si="1"/>
        <v>9432.1570695558894</v>
      </c>
    </row>
    <row r="34" spans="3:18" x14ac:dyDescent="0.3">
      <c r="C34" s="2">
        <v>2002</v>
      </c>
      <c r="D34" s="2">
        <v>323.52563318307426</v>
      </c>
      <c r="Q34" s="20">
        <f t="shared" si="0"/>
        <v>398.88835470912733</v>
      </c>
      <c r="R34" s="26">
        <f t="shared" si="1"/>
        <v>9831.4133910758028</v>
      </c>
    </row>
    <row r="35" spans="3:18" x14ac:dyDescent="0.3">
      <c r="C35" s="2">
        <v>2003</v>
      </c>
      <c r="D35" s="2">
        <v>326.79678563497009</v>
      </c>
      <c r="Q35" s="20">
        <f t="shared" si="0"/>
        <v>396.9820835926696</v>
      </c>
      <c r="R35" s="26">
        <f t="shared" si="1"/>
        <v>10229.464944541338</v>
      </c>
    </row>
    <row r="36" spans="3:18" x14ac:dyDescent="0.3">
      <c r="C36" s="2">
        <v>2004</v>
      </c>
      <c r="D36" s="2">
        <v>338.06322744085497</v>
      </c>
      <c r="Q36" s="20">
        <f t="shared" si="0"/>
        <v>393.69676338215612</v>
      </c>
      <c r="R36" s="26">
        <f t="shared" si="1"/>
        <v>10624.917664142638</v>
      </c>
    </row>
    <row r="37" spans="3:18" x14ac:dyDescent="0.3">
      <c r="C37" s="2">
        <v>2005</v>
      </c>
      <c r="D37" s="2">
        <v>328.27349474731898</v>
      </c>
      <c r="Q37" s="20">
        <f t="shared" si="0"/>
        <v>389.0781208671732</v>
      </c>
      <c r="R37" s="26">
        <f t="shared" si="1"/>
        <v>11016.41383443266</v>
      </c>
    </row>
    <row r="38" spans="3:18" x14ac:dyDescent="0.3">
      <c r="C38" s="2">
        <v>2006</v>
      </c>
      <c r="D38" s="2">
        <v>320.89620268191902</v>
      </c>
      <c r="Q38" s="20">
        <f t="shared" si="0"/>
        <v>383.18947500530504</v>
      </c>
      <c r="R38" s="26">
        <f t="shared" si="1"/>
        <v>11402.650395642138</v>
      </c>
    </row>
    <row r="39" spans="3:18" x14ac:dyDescent="0.3">
      <c r="C39" s="2">
        <v>2007</v>
      </c>
      <c r="D39" s="2">
        <v>306.89069209614968</v>
      </c>
      <c r="Q39" s="20">
        <f t="shared" si="0"/>
        <v>376.10991882935866</v>
      </c>
      <c r="R39" s="26">
        <f t="shared" si="1"/>
        <v>11782.395663220264</v>
      </c>
    </row>
    <row r="40" spans="3:18" x14ac:dyDescent="0.3">
      <c r="C40" s="2">
        <v>2008</v>
      </c>
      <c r="D40" s="2">
        <v>321.01581875968009</v>
      </c>
      <c r="Q40" s="20">
        <f t="shared" si="0"/>
        <v>367.93211177853755</v>
      </c>
      <c r="R40" s="26">
        <f t="shared" si="1"/>
        <v>12154.504026418068</v>
      </c>
    </row>
    <row r="41" spans="3:18" x14ac:dyDescent="0.3">
      <c r="C41" s="2">
        <v>2009</v>
      </c>
      <c r="D41" s="2">
        <v>304.10600285313342</v>
      </c>
      <c r="Q41" s="20">
        <f t="shared" si="0"/>
        <v>358.75978560223217</v>
      </c>
      <c r="R41" s="26">
        <f t="shared" si="1"/>
        <v>12517.928286954817</v>
      </c>
    </row>
    <row r="42" spans="3:18" x14ac:dyDescent="0.3">
      <c r="C42" s="2">
        <v>2010</v>
      </c>
      <c r="D42" s="2">
        <v>310.68068798357564</v>
      </c>
      <c r="Q42" s="20">
        <f t="shared" si="0"/>
        <v>348.70507482742232</v>
      </c>
      <c r="R42" s="26">
        <f t="shared" si="1"/>
        <v>12871.729406487133</v>
      </c>
    </row>
    <row r="43" spans="3:18" x14ac:dyDescent="0.3">
      <c r="C43" s="2">
        <v>2011</v>
      </c>
      <c r="D43" s="2">
        <v>285.45069309507801</v>
      </c>
      <c r="Q43" s="20">
        <f t="shared" si="0"/>
        <v>337.88578339725137</v>
      </c>
      <c r="R43" s="26">
        <f t="shared" si="1"/>
        <v>13215.083543487361</v>
      </c>
    </row>
    <row r="44" spans="3:18" x14ac:dyDescent="0.3">
      <c r="C44" s="2">
        <v>2012</v>
      </c>
      <c r="D44" s="2">
        <v>288.05023987012714</v>
      </c>
      <c r="Q44" s="20">
        <f t="shared" si="0"/>
        <v>326.42269304709225</v>
      </c>
      <c r="R44" s="26">
        <f t="shared" si="1"/>
        <v>13547.286369241037</v>
      </c>
    </row>
    <row r="45" spans="3:18" x14ac:dyDescent="0.3">
      <c r="C45" s="2">
        <v>2013</v>
      </c>
      <c r="D45" s="2">
        <v>280.63157302665928</v>
      </c>
      <c r="Q45" s="20">
        <f t="shared" si="0"/>
        <v>314.43700736644251</v>
      </c>
      <c r="R45" s="26">
        <f t="shared" si="1"/>
        <v>13867.754752839821</v>
      </c>
    </row>
    <row r="46" spans="3:18" x14ac:dyDescent="0.3">
      <c r="C46" s="2">
        <v>2014</v>
      </c>
      <c r="D46" s="2">
        <v>267.47077828534344</v>
      </c>
      <c r="Q46" s="20">
        <f t="shared" si="0"/>
        <v>302.0480097286561</v>
      </c>
      <c r="R46" s="26">
        <f t="shared" si="1"/>
        <v>14176.025991391793</v>
      </c>
    </row>
    <row r="47" spans="3:18" x14ac:dyDescent="0.3">
      <c r="C47" s="2">
        <v>2015</v>
      </c>
      <c r="D47" s="2">
        <v>261.67906146356228</v>
      </c>
      <c r="Q47" s="20">
        <f t="shared" si="0"/>
        <v>289.3709949476297</v>
      </c>
      <c r="R47" s="26">
        <f t="shared" si="1"/>
        <v>14471.75483083753</v>
      </c>
    </row>
    <row r="48" spans="3:18" x14ac:dyDescent="0.3">
      <c r="C48" s="2">
        <v>2016</v>
      </c>
      <c r="D48" s="2">
        <v>260.50541278185699</v>
      </c>
      <c r="Q48" s="20">
        <f t="shared" si="0"/>
        <v>276.51551522050016</v>
      </c>
      <c r="R48" s="26">
        <f t="shared" si="1"/>
        <v>14754.708572988193</v>
      </c>
    </row>
    <row r="49" spans="3:18" x14ac:dyDescent="0.3">
      <c r="C49" s="2">
        <v>2017</v>
      </c>
      <c r="D49" s="2">
        <v>263.2351360070848</v>
      </c>
      <c r="Q49" s="20">
        <f t="shared" si="0"/>
        <v>263.58396205857798</v>
      </c>
      <c r="R49" s="26">
        <f t="shared" si="1"/>
        <v>15024.760595442838</v>
      </c>
    </row>
    <row r="50" spans="3:18" x14ac:dyDescent="0.3">
      <c r="C50" s="2">
        <v>2018</v>
      </c>
      <c r="D50" s="41">
        <v>250.67048865214244</v>
      </c>
      <c r="Q50" s="20">
        <f t="shared" si="0"/>
        <v>250.6704886521425</v>
      </c>
      <c r="R50" s="26">
        <f t="shared" si="1"/>
        <v>15281.882623942731</v>
      </c>
    </row>
    <row r="51" spans="3:18" x14ac:dyDescent="0.3">
      <c r="C51" s="2">
        <v>2019</v>
      </c>
      <c r="D51" s="2"/>
      <c r="Q51" s="20">
        <f t="shared" si="0"/>
        <v>237.86026229453961</v>
      </c>
      <c r="R51" s="26">
        <f t="shared" si="1"/>
        <v>15526.136093527004</v>
      </c>
    </row>
    <row r="52" spans="3:18" x14ac:dyDescent="0.3">
      <c r="C52" s="2">
        <v>2020</v>
      </c>
      <c r="D52" s="2"/>
      <c r="Q52" s="20">
        <f t="shared" si="0"/>
        <v>225.22902460950894</v>
      </c>
      <c r="R52" s="26">
        <f t="shared" si="1"/>
        <v>15757.662918281345</v>
      </c>
    </row>
    <row r="53" spans="3:18" x14ac:dyDescent="0.3">
      <c r="C53" s="2">
        <v>2021</v>
      </c>
      <c r="D53" s="2"/>
      <c r="Q53" s="20">
        <f t="shared" si="0"/>
        <v>212.8429285744262</v>
      </c>
      <c r="R53" s="26">
        <f t="shared" si="1"/>
        <v>15976.675962578254</v>
      </c>
    </row>
    <row r="54" spans="3:18" x14ac:dyDescent="0.3">
      <c r="C54" s="2">
        <v>2022</v>
      </c>
      <c r="D54" s="2"/>
      <c r="Q54" s="20">
        <f t="shared" si="0"/>
        <v>200.75861564091915</v>
      </c>
      <c r="R54" s="26">
        <f t="shared" si="1"/>
        <v>16183.449472608203</v>
      </c>
    </row>
    <row r="55" spans="3:18" x14ac:dyDescent="0.3">
      <c r="C55" s="2">
        <v>2023</v>
      </c>
      <c r="D55" s="2"/>
      <c r="Q55" s="20">
        <f t="shared" si="0"/>
        <v>189.02349335389391</v>
      </c>
      <c r="R55" s="26">
        <f t="shared" si="1"/>
        <v>16378.309688634834</v>
      </c>
    </row>
    <row r="56" spans="3:18" x14ac:dyDescent="0.3">
      <c r="C56" s="2">
        <v>2024</v>
      </c>
      <c r="D56" s="2"/>
      <c r="Q56" s="20">
        <f t="shared" si="0"/>
        <v>177.67617335894195</v>
      </c>
      <c r="R56" s="26">
        <f t="shared" si="1"/>
        <v>16561.625818372817</v>
      </c>
    </row>
    <row r="57" spans="3:18" x14ac:dyDescent="0.3">
      <c r="C57" s="2">
        <v>2025</v>
      </c>
      <c r="D57" s="2"/>
      <c r="Q57" s="20">
        <f t="shared" si="0"/>
        <v>166.74703109519663</v>
      </c>
      <c r="R57" s="26">
        <f t="shared" si="1"/>
        <v>16733.801512341044</v>
      </c>
    </row>
    <row r="58" spans="3:18" x14ac:dyDescent="0.3">
      <c r="C58" s="2">
        <v>2026</v>
      </c>
      <c r="D58" s="2"/>
      <c r="Q58" s="20">
        <f t="shared" si="0"/>
        <v>156.25885130796703</v>
      </c>
      <c r="R58" s="26">
        <f t="shared" si="1"/>
        <v>16895.266944660285</v>
      </c>
    </row>
    <row r="59" spans="3:18" x14ac:dyDescent="0.3">
      <c r="C59" s="2">
        <v>2027</v>
      </c>
      <c r="D59" s="2"/>
      <c r="Q59" s="20">
        <f t="shared" si="0"/>
        <v>146.22752731873479</v>
      </c>
      <c r="R59" s="26">
        <f t="shared" si="1"/>
        <v>17046.471568738154</v>
      </c>
    </row>
    <row r="60" spans="3:18" x14ac:dyDescent="0.3">
      <c r="C60" s="2">
        <v>2028</v>
      </c>
      <c r="D60" s="2"/>
      <c r="Q60" s="20">
        <f t="shared" si="0"/>
        <v>136.662786346822</v>
      </c>
      <c r="R60" s="26">
        <f t="shared" si="1"/>
        <v>17187.877587369298</v>
      </c>
    </row>
    <row r="61" spans="3:18" x14ac:dyDescent="0.3">
      <c r="C61" s="2">
        <v>2029</v>
      </c>
      <c r="D61" s="2"/>
      <c r="Q61" s="20">
        <f t="shared" si="0"/>
        <v>127.56891774224974</v>
      </c>
      <c r="R61" s="26">
        <f t="shared" si="1"/>
        <v>17319.954151350983</v>
      </c>
    </row>
    <row r="62" spans="3:18" x14ac:dyDescent="0.3">
      <c r="C62" s="2">
        <v>2030</v>
      </c>
      <c r="D62" s="2"/>
      <c r="Q62" s="20">
        <f t="shared" si="0"/>
        <v>118.94548549165603</v>
      </c>
      <c r="R62" s="26">
        <f t="shared" si="1"/>
        <v>17443.172279839324</v>
      </c>
    </row>
    <row r="63" spans="3:18" x14ac:dyDescent="0.3">
      <c r="C63" s="2">
        <v>2031</v>
      </c>
      <c r="D63" s="2"/>
      <c r="Q63" s="20">
        <f t="shared" si="0"/>
        <v>110.78801059944077</v>
      </c>
      <c r="R63" s="26">
        <f t="shared" si="1"/>
        <v>17558.000479181857</v>
      </c>
    </row>
    <row r="64" spans="3:18" x14ac:dyDescent="0.3">
      <c r="C64" s="2">
        <v>2032</v>
      </c>
      <c r="D64" s="2"/>
      <c r="Q64" s="20">
        <f t="shared" si="0"/>
        <v>103.08861279097771</v>
      </c>
      <c r="R64" s="26">
        <f t="shared" si="1"/>
        <v>17664.90102452369</v>
      </c>
    </row>
    <row r="65" spans="3:18" x14ac:dyDescent="0.3">
      <c r="C65" s="2">
        <v>2033</v>
      </c>
      <c r="D65" s="2"/>
      <c r="Q65" s="20">
        <f t="shared" si="0"/>
        <v>95.836604356257354</v>
      </c>
      <c r="R65" s="26">
        <f t="shared" si="1"/>
        <v>17764.326859658271</v>
      </c>
    </row>
    <row r="66" spans="3:18" x14ac:dyDescent="0.3">
      <c r="C66" s="2">
        <v>2034</v>
      </c>
      <c r="D66" s="2"/>
      <c r="Q66" s="20">
        <f t="shared" ref="Q66:Q82" si="2">(($T$2*$F$2*EXP(-$G$2*(C66-$H$2))*$G$2*($F$2-$T$2)))/((EXP(-$G$2*(C66-$H$2))*($F$2-$T$2)+$T$2)^2)</f>
        <v>89.019031818438663</v>
      </c>
      <c r="R66" s="26">
        <f t="shared" ref="R66:R82" si="3">($F$2*$T$2)/(($F$2-$T$2)*EXP(-$G$2*(C66-$H$2))+$T$2)</f>
        <v>17856.719064887926</v>
      </c>
    </row>
    <row r="67" spans="3:18" x14ac:dyDescent="0.3">
      <c r="C67" s="2">
        <v>2035</v>
      </c>
      <c r="D67" s="2"/>
      <c r="Q67" s="20">
        <f t="shared" si="2"/>
        <v>82.621163474690434</v>
      </c>
      <c r="R67" s="26">
        <f t="shared" si="3"/>
        <v>17942.504839566205</v>
      </c>
    </row>
    <row r="68" spans="3:18" x14ac:dyDescent="0.3">
      <c r="C68" s="2">
        <v>2036</v>
      </c>
      <c r="D68" s="2"/>
      <c r="Q68" s="20">
        <f t="shared" si="2"/>
        <v>76.626922743147617</v>
      </c>
      <c r="R68" s="26">
        <f t="shared" si="3"/>
        <v>18022.095945022844</v>
      </c>
    </row>
    <row r="69" spans="3:18" x14ac:dyDescent="0.3">
      <c r="C69" s="2">
        <v>2037</v>
      </c>
      <c r="D69" s="2"/>
      <c r="Q69" s="20">
        <f t="shared" si="2"/>
        <v>71.019268702525608</v>
      </c>
      <c r="R69" s="26">
        <f t="shared" si="3"/>
        <v>18095.887554266457</v>
      </c>
    </row>
    <row r="70" spans="3:18" x14ac:dyDescent="0.3">
      <c r="C70" s="2">
        <v>2038</v>
      </c>
      <c r="D70" s="2"/>
      <c r="Q70" s="20">
        <f t="shared" si="2"/>
        <v>65.780526281662347</v>
      </c>
      <c r="R70" s="26">
        <f t="shared" si="3"/>
        <v>18164.257456811469</v>
      </c>
    </row>
    <row r="71" spans="3:18" x14ac:dyDescent="0.3">
      <c r="C71" s="2">
        <v>2039</v>
      </c>
      <c r="D71" s="2"/>
      <c r="Q71" s="20">
        <f t="shared" si="2"/>
        <v>60.892669300294884</v>
      </c>
      <c r="R71" s="26">
        <f t="shared" si="3"/>
        <v>18227.565569829989</v>
      </c>
    </row>
    <row r="72" spans="3:18" x14ac:dyDescent="0.3">
      <c r="C72" s="2">
        <v>2040</v>
      </c>
      <c r="D72" s="2"/>
      <c r="Q72" s="20">
        <f t="shared" si="2"/>
        <v>56.337560034635978</v>
      </c>
      <c r="R72" s="26">
        <f t="shared" si="3"/>
        <v>18286.153710287261</v>
      </c>
    </row>
    <row r="73" spans="3:18" x14ac:dyDescent="0.3">
      <c r="C73" s="2">
        <v>2041</v>
      </c>
      <c r="D73" s="2"/>
      <c r="Q73" s="20">
        <f t="shared" si="2"/>
        <v>52.097149233588937</v>
      </c>
      <c r="R73" s="26">
        <f t="shared" si="3"/>
        <v>18340.345586535215</v>
      </c>
    </row>
    <row r="74" spans="3:18" x14ac:dyDescent="0.3">
      <c r="C74" s="2">
        <v>2042</v>
      </c>
      <c r="D74" s="2"/>
      <c r="Q74" s="20">
        <f t="shared" si="2"/>
        <v>48.153640590710928</v>
      </c>
      <c r="R74" s="26">
        <f t="shared" si="3"/>
        <v>18390.446971816837</v>
      </c>
    </row>
    <row r="75" spans="3:18" x14ac:dyDescent="0.3">
      <c r="C75" s="2">
        <v>2043</v>
      </c>
      <c r="D75" s="2"/>
      <c r="Q75" s="20">
        <f t="shared" si="2"/>
        <v>44.489623624588063</v>
      </c>
      <c r="R75" s="26">
        <f t="shared" si="3"/>
        <v>18436.746026122291</v>
      </c>
    </row>
    <row r="76" spans="3:18" x14ac:dyDescent="0.3">
      <c r="C76" s="2">
        <v>2044</v>
      </c>
      <c r="D76" s="2"/>
      <c r="Q76" s="20">
        <f t="shared" si="2"/>
        <v>41.08817877140396</v>
      </c>
      <c r="R76" s="26">
        <f t="shared" si="3"/>
        <v>18479.513736722663</v>
      </c>
    </row>
    <row r="77" spans="3:18" x14ac:dyDescent="0.3">
      <c r="C77" s="2">
        <v>2045</v>
      </c>
      <c r="D77" s="2"/>
      <c r="Q77" s="20">
        <f t="shared" si="2"/>
        <v>37.932958277572929</v>
      </c>
      <c r="R77" s="26">
        <f t="shared" si="3"/>
        <v>18519.004451407676</v>
      </c>
    </row>
    <row r="78" spans="3:18" x14ac:dyDescent="0.3">
      <c r="C78" s="2">
        <v>2046</v>
      </c>
      <c r="D78" s="2"/>
      <c r="Q78" s="20">
        <f t="shared" si="2"/>
        <v>35.008246221283343</v>
      </c>
      <c r="R78" s="26">
        <f t="shared" si="3"/>
        <v>18555.456481914578</v>
      </c>
    </row>
    <row r="79" spans="3:18" x14ac:dyDescent="0.3">
      <c r="C79" s="2">
        <v>2047</v>
      </c>
      <c r="D79" s="2"/>
      <c r="Q79" s="20">
        <f t="shared" si="2"/>
        <v>32.299000708644101</v>
      </c>
      <c r="R79" s="26">
        <f t="shared" si="3"/>
        <v>18589.092758224262</v>
      </c>
    </row>
    <row r="80" spans="3:18" x14ac:dyDescent="0.3">
      <c r="C80" s="2">
        <v>2048</v>
      </c>
      <c r="D80" s="2"/>
      <c r="Q80" s="20">
        <f t="shared" si="2"/>
        <v>29.790880997518503</v>
      </c>
      <c r="R80" s="26">
        <f t="shared" si="3"/>
        <v>18620.121517300129</v>
      </c>
    </row>
    <row r="81" spans="3:18" x14ac:dyDescent="0.3">
      <c r="C81" s="2">
        <v>2049</v>
      </c>
      <c r="D81" s="2"/>
      <c r="Q81" s="20">
        <f t="shared" si="2"/>
        <v>27.470262011082372</v>
      </c>
      <c r="R81" s="26">
        <f t="shared" si="3"/>
        <v>18648.737012452435</v>
      </c>
    </row>
    <row r="82" spans="3:18" x14ac:dyDescent="0.3">
      <c r="C82" s="2">
        <v>2050</v>
      </c>
      <c r="D82" s="2"/>
      <c r="Q82" s="20">
        <f t="shared" si="2"/>
        <v>25.324238421618141</v>
      </c>
      <c r="R82" s="26">
        <f t="shared" si="3"/>
        <v>18675.120231830966</v>
      </c>
    </row>
    <row r="83" spans="3:18" x14ac:dyDescent="0.3">
      <c r="Q83" s="20"/>
    </row>
    <row r="84" spans="3:18" x14ac:dyDescent="0.3">
      <c r="Q84" s="20"/>
    </row>
    <row r="85" spans="3:18" x14ac:dyDescent="0.3">
      <c r="Q85" s="20"/>
    </row>
    <row r="86" spans="3:18" x14ac:dyDescent="0.3">
      <c r="Q86" s="20"/>
    </row>
    <row r="87" spans="3:18" x14ac:dyDescent="0.3">
      <c r="Q87" s="20"/>
    </row>
    <row r="88" spans="3:18" x14ac:dyDescent="0.3">
      <c r="Q88" s="20"/>
    </row>
    <row r="89" spans="3:18" x14ac:dyDescent="0.3">
      <c r="Q89" s="20"/>
    </row>
    <row r="90" spans="3:18" x14ac:dyDescent="0.3">
      <c r="Q90" s="20"/>
    </row>
    <row r="91" spans="3:18" x14ac:dyDescent="0.3">
      <c r="Q91" s="20"/>
    </row>
    <row r="92" spans="3:18" x14ac:dyDescent="0.3">
      <c r="Q92" s="20"/>
    </row>
    <row r="93" spans="3:18" x14ac:dyDescent="0.3">
      <c r="Q93" s="20"/>
    </row>
    <row r="94" spans="3:18" x14ac:dyDescent="0.3">
      <c r="Q94" s="20"/>
    </row>
    <row r="95" spans="3:18" x14ac:dyDescent="0.3">
      <c r="Q95" s="20"/>
    </row>
    <row r="96" spans="3:18" x14ac:dyDescent="0.3">
      <c r="Q96" s="20"/>
    </row>
    <row r="97" spans="17:17" x14ac:dyDescent="0.3">
      <c r="Q97" s="20"/>
    </row>
    <row r="98" spans="17:17" x14ac:dyDescent="0.3">
      <c r="Q98" s="20"/>
    </row>
    <row r="99" spans="17:17" x14ac:dyDescent="0.3">
      <c r="Q99" s="20"/>
    </row>
    <row r="100" spans="17:17" x14ac:dyDescent="0.3">
      <c r="Q100" s="20"/>
    </row>
    <row r="101" spans="17:17" x14ac:dyDescent="0.3">
      <c r="Q101" s="20"/>
    </row>
    <row r="102" spans="17:17" x14ac:dyDescent="0.3">
      <c r="Q102" s="20"/>
    </row>
    <row r="103" spans="17:17" x14ac:dyDescent="0.3">
      <c r="Q103" s="20"/>
    </row>
    <row r="104" spans="17:17" x14ac:dyDescent="0.3">
      <c r="Q104" s="20"/>
    </row>
    <row r="105" spans="17:17" x14ac:dyDescent="0.3">
      <c r="Q105" s="20"/>
    </row>
    <row r="106" spans="17:17" x14ac:dyDescent="0.3">
      <c r="Q106" s="20"/>
    </row>
    <row r="107" spans="17:17" x14ac:dyDescent="0.3">
      <c r="Q107" s="20"/>
    </row>
    <row r="108" spans="17:17" x14ac:dyDescent="0.3">
      <c r="Q108" s="20"/>
    </row>
    <row r="109" spans="17:17" x14ac:dyDescent="0.3">
      <c r="Q109" s="20"/>
    </row>
    <row r="110" spans="17:17" x14ac:dyDescent="0.3">
      <c r="Q110" s="20"/>
    </row>
    <row r="111" spans="17:17" x14ac:dyDescent="0.3">
      <c r="Q111" s="20"/>
    </row>
    <row r="112" spans="17:17" x14ac:dyDescent="0.3">
      <c r="Q112" s="20"/>
    </row>
    <row r="113" spans="17:17" x14ac:dyDescent="0.3">
      <c r="Q113" s="20"/>
    </row>
    <row r="114" spans="17:17" x14ac:dyDescent="0.3">
      <c r="Q114" s="20"/>
    </row>
    <row r="115" spans="17:17" x14ac:dyDescent="0.3">
      <c r="Q115" s="20"/>
    </row>
    <row r="116" spans="17:17" x14ac:dyDescent="0.3">
      <c r="Q116" s="20"/>
    </row>
    <row r="117" spans="17:17" x14ac:dyDescent="0.3">
      <c r="Q117" s="20"/>
    </row>
    <row r="118" spans="17:17" x14ac:dyDescent="0.3">
      <c r="Q118" s="20"/>
    </row>
    <row r="119" spans="17:17" x14ac:dyDescent="0.3">
      <c r="Q119" s="20"/>
    </row>
    <row r="120" spans="17:17" x14ac:dyDescent="0.3">
      <c r="Q120" s="20"/>
    </row>
    <row r="121" spans="17:17" x14ac:dyDescent="0.3">
      <c r="Q121" s="20"/>
    </row>
    <row r="122" spans="17:17" x14ac:dyDescent="0.3">
      <c r="Q122" s="20"/>
    </row>
    <row r="123" spans="17:17" x14ac:dyDescent="0.3">
      <c r="Q123" s="20"/>
    </row>
    <row r="124" spans="17:17" x14ac:dyDescent="0.3">
      <c r="Q124" s="20"/>
    </row>
    <row r="125" spans="17:17" x14ac:dyDescent="0.3">
      <c r="Q125" s="20"/>
    </row>
    <row r="126" spans="17:17" x14ac:dyDescent="0.3">
      <c r="Q126" s="20"/>
    </row>
    <row r="127" spans="17:17" x14ac:dyDescent="0.3">
      <c r="Q127" s="20"/>
    </row>
    <row r="128" spans="17:17" x14ac:dyDescent="0.3">
      <c r="Q128" s="20"/>
    </row>
    <row r="129" spans="17:17" x14ac:dyDescent="0.3">
      <c r="Q129" s="20"/>
    </row>
    <row r="130" spans="17:17" x14ac:dyDescent="0.3">
      <c r="Q130" s="20"/>
    </row>
    <row r="131" spans="17:17" x14ac:dyDescent="0.3">
      <c r="Q131" s="20"/>
    </row>
    <row r="132" spans="17:17" x14ac:dyDescent="0.3">
      <c r="Q132" s="20"/>
    </row>
    <row r="133" spans="17:17" x14ac:dyDescent="0.3">
      <c r="Q133" s="20"/>
    </row>
    <row r="134" spans="17:17" x14ac:dyDescent="0.3">
      <c r="Q134" s="20"/>
    </row>
    <row r="135" spans="17:17" x14ac:dyDescent="0.3">
      <c r="Q135" s="20"/>
    </row>
    <row r="136" spans="17:17" x14ac:dyDescent="0.3">
      <c r="Q136" s="20"/>
    </row>
    <row r="137" spans="17:17" x14ac:dyDescent="0.3">
      <c r="Q137" s="20"/>
    </row>
    <row r="138" spans="17:17" x14ac:dyDescent="0.3">
      <c r="Q138" s="20"/>
    </row>
    <row r="139" spans="17:17" x14ac:dyDescent="0.3">
      <c r="Q139" s="20"/>
    </row>
    <row r="140" spans="17:17" x14ac:dyDescent="0.3">
      <c r="Q140" s="20"/>
    </row>
    <row r="141" spans="17:17" x14ac:dyDescent="0.3">
      <c r="Q141" s="20"/>
    </row>
    <row r="142" spans="17:17" x14ac:dyDescent="0.3">
      <c r="Q142" s="20"/>
    </row>
    <row r="143" spans="17:17" x14ac:dyDescent="0.3">
      <c r="Q143" s="20"/>
    </row>
    <row r="144" spans="17:17" x14ac:dyDescent="0.3">
      <c r="Q144" s="20"/>
    </row>
    <row r="145" spans="17:17" x14ac:dyDescent="0.3">
      <c r="Q145" s="20"/>
    </row>
    <row r="146" spans="17:17" x14ac:dyDescent="0.3">
      <c r="Q146" s="20"/>
    </row>
    <row r="147" spans="17:17" x14ac:dyDescent="0.3">
      <c r="Q147" s="20"/>
    </row>
    <row r="148" spans="17:17" x14ac:dyDescent="0.3">
      <c r="Q148" s="20"/>
    </row>
    <row r="149" spans="17:17" x14ac:dyDescent="0.3">
      <c r="Q149" s="20"/>
    </row>
    <row r="150" spans="17:17" x14ac:dyDescent="0.3">
      <c r="Q150" s="20"/>
    </row>
  </sheetData>
  <mergeCells count="3">
    <mergeCell ref="A1:B29"/>
    <mergeCell ref="N1:P29"/>
    <mergeCell ref="F12:J14"/>
  </mergeCell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438524-9F36-45A2-8D46-7B8E29FA1A38}">
  <sheetPr codeName="Sheet10"/>
  <dimension ref="A1:V150"/>
  <sheetViews>
    <sheetView topLeftCell="A17" zoomScale="90" zoomScaleNormal="90" workbookViewId="0">
      <selection activeCell="D32" sqref="D32"/>
    </sheetView>
  </sheetViews>
  <sheetFormatPr defaultRowHeight="14.4" x14ac:dyDescent="0.3"/>
  <cols>
    <col min="3" max="3" width="8.88671875" style="17"/>
    <col min="4" max="4" width="9.33203125" style="17" customWidth="1"/>
    <col min="10" max="10" width="14.88671875" bestFit="1" customWidth="1"/>
    <col min="14" max="16" width="8.88671875" style="1"/>
    <col min="17" max="17" width="8.88671875" style="21"/>
    <col min="18" max="18" width="9.21875" style="26" customWidth="1"/>
    <col min="22" max="22" width="12.77734375" bestFit="1" customWidth="1"/>
  </cols>
  <sheetData>
    <row r="1" spans="1:22" ht="15.6" x14ac:dyDescent="0.3">
      <c r="A1" s="59" t="s">
        <v>13</v>
      </c>
      <c r="B1" s="60"/>
      <c r="C1" s="18" t="s">
        <v>15</v>
      </c>
      <c r="D1" s="18" t="s">
        <v>50</v>
      </c>
      <c r="F1" s="2" t="s">
        <v>19</v>
      </c>
      <c r="G1" s="2" t="s">
        <v>18</v>
      </c>
      <c r="H1" s="2" t="s">
        <v>27</v>
      </c>
      <c r="J1" s="15" t="s">
        <v>51</v>
      </c>
      <c r="N1" s="65" t="s">
        <v>14</v>
      </c>
      <c r="O1" s="66"/>
      <c r="P1" s="67"/>
      <c r="Q1" s="19" t="s">
        <v>28</v>
      </c>
      <c r="R1" s="25" t="s">
        <v>62</v>
      </c>
      <c r="T1" s="36" t="s">
        <v>71</v>
      </c>
      <c r="U1" s="37" t="s">
        <v>24</v>
      </c>
      <c r="V1" s="35" t="s">
        <v>70</v>
      </c>
    </row>
    <row r="2" spans="1:22" ht="15.6" customHeight="1" x14ac:dyDescent="0.3">
      <c r="A2" s="61"/>
      <c r="B2" s="62"/>
      <c r="C2" s="31">
        <v>1988</v>
      </c>
      <c r="D2" s="31">
        <v>658</v>
      </c>
      <c r="F2" s="2">
        <v>72870.979561932327</v>
      </c>
      <c r="G2" s="3">
        <v>0.09</v>
      </c>
      <c r="H2" s="2">
        <v>2018</v>
      </c>
      <c r="J2" s="22">
        <v>1469</v>
      </c>
      <c r="N2" s="68"/>
      <c r="O2" s="69"/>
      <c r="P2" s="70"/>
      <c r="Q2" s="20">
        <f t="shared" ref="Q2:Q33" si="0">(($T$2*$F$2*EXP(-$G$2*(C2-$H$2))*$G$2*($F$2-$T$2)))/((EXP(-$G$2*(C2-$H$2))*($F$2-$T$2)+$T$2)^2)</f>
        <v>672.46214097250106</v>
      </c>
      <c r="R2" s="26">
        <f>($F$2*$T$2)/(($F$2-$T$2)*EXP(-$G$2*(C2-$H$2))+$T$2)</f>
        <v>8452.1480158056911</v>
      </c>
      <c r="T2" s="36">
        <f>F2/2*(1+SQRT(1-(4*J2)/(F2*G2)))</f>
        <v>48188.30193882934</v>
      </c>
      <c r="U2" s="37">
        <f>SUM((Q2:Q50-D2:D50)^2)/SUM((D2:D50)^2)</f>
        <v>4.8307370014249204E-4</v>
      </c>
      <c r="V2" s="34" t="e">
        <f>VLOOKUP(MAX(Q:Q),C:C,1,TRUE)</f>
        <v>#N/A</v>
      </c>
    </row>
    <row r="3" spans="1:22" x14ac:dyDescent="0.3">
      <c r="A3" s="61"/>
      <c r="B3" s="62"/>
      <c r="C3" s="31">
        <v>1989</v>
      </c>
      <c r="D3" s="31">
        <v>714</v>
      </c>
      <c r="N3" s="68"/>
      <c r="O3" s="69"/>
      <c r="P3" s="70"/>
      <c r="Q3" s="20">
        <f t="shared" si="0"/>
        <v>719.97617477486472</v>
      </c>
      <c r="R3" s="26">
        <f t="shared" ref="R3:R64" si="1">($F$2*$T$2)/(($F$2-$T$2)*EXP(-$G$2*(C3-$H$2))+$T$2)</f>
        <v>9148.1965873684676</v>
      </c>
    </row>
    <row r="4" spans="1:22" x14ac:dyDescent="0.3">
      <c r="A4" s="61"/>
      <c r="B4" s="62"/>
      <c r="C4" s="31">
        <v>1990</v>
      </c>
      <c r="D4" s="31">
        <v>653</v>
      </c>
      <c r="F4" t="s">
        <v>16</v>
      </c>
      <c r="N4" s="68"/>
      <c r="O4" s="69"/>
      <c r="P4" s="70"/>
      <c r="Q4" s="20">
        <f t="shared" si="0"/>
        <v>769.47740638541984</v>
      </c>
      <c r="R4" s="26">
        <f t="shared" si="1"/>
        <v>9892.7632091370579</v>
      </c>
      <c r="T4" t="s">
        <v>25</v>
      </c>
    </row>
    <row r="5" spans="1:22" x14ac:dyDescent="0.3">
      <c r="A5" s="61"/>
      <c r="B5" s="62"/>
      <c r="C5" s="31">
        <v>1991</v>
      </c>
      <c r="D5" s="31">
        <v>631</v>
      </c>
      <c r="N5" s="68"/>
      <c r="O5" s="69"/>
      <c r="P5" s="70"/>
      <c r="Q5" s="20">
        <f t="shared" si="0"/>
        <v>820.82011575689137</v>
      </c>
      <c r="R5" s="26">
        <f t="shared" si="1"/>
        <v>10687.765712666522</v>
      </c>
      <c r="T5" t="s">
        <v>26</v>
      </c>
    </row>
    <row r="6" spans="1:22" x14ac:dyDescent="0.3">
      <c r="A6" s="61"/>
      <c r="B6" s="62"/>
      <c r="C6" s="31">
        <v>1992</v>
      </c>
      <c r="D6" s="31">
        <v>631</v>
      </c>
      <c r="F6" t="s">
        <v>17</v>
      </c>
      <c r="N6" s="68"/>
      <c r="O6" s="69"/>
      <c r="P6" s="70"/>
      <c r="Q6" s="20">
        <f t="shared" si="0"/>
        <v>873.81484711230348</v>
      </c>
      <c r="R6" s="26">
        <f t="shared" si="1"/>
        <v>11534.954637839801</v>
      </c>
    </row>
    <row r="7" spans="1:22" x14ac:dyDescent="0.3">
      <c r="A7" s="61"/>
      <c r="B7" s="62"/>
      <c r="C7" s="31">
        <v>1993</v>
      </c>
      <c r="D7" s="31">
        <v>1371</v>
      </c>
      <c r="N7" s="68"/>
      <c r="O7" s="69"/>
      <c r="P7" s="70"/>
      <c r="Q7" s="20">
        <f t="shared" si="0"/>
        <v>928.22514390984702</v>
      </c>
      <c r="R7" s="26">
        <f t="shared" si="1"/>
        <v>12435.867813717983</v>
      </c>
    </row>
    <row r="8" spans="1:22" x14ac:dyDescent="0.3">
      <c r="A8" s="61"/>
      <c r="B8" s="62"/>
      <c r="C8" s="31">
        <v>1994</v>
      </c>
      <c r="D8" s="31">
        <v>853</v>
      </c>
      <c r="F8" t="s">
        <v>22</v>
      </c>
      <c r="N8" s="68"/>
      <c r="O8" s="69"/>
      <c r="P8" s="70"/>
      <c r="Q8" s="20">
        <f t="shared" si="0"/>
        <v>983.76501549420709</v>
      </c>
      <c r="R8" s="26">
        <f t="shared" si="1"/>
        <v>13391.782019825314</v>
      </c>
    </row>
    <row r="9" spans="1:22" x14ac:dyDescent="0.3">
      <c r="A9" s="61"/>
      <c r="B9" s="62"/>
      <c r="C9" s="31">
        <v>1995</v>
      </c>
      <c r="D9" s="31">
        <v>1081</v>
      </c>
      <c r="F9" t="s">
        <v>20</v>
      </c>
      <c r="N9" s="68"/>
      <c r="O9" s="69"/>
      <c r="P9" s="70"/>
      <c r="Q9" s="20">
        <f t="shared" si="0"/>
        <v>1040.0973884726443</v>
      </c>
      <c r="R9" s="26">
        <f t="shared" si="1"/>
        <v>14403.662584765858</v>
      </c>
    </row>
    <row r="10" spans="1:22" x14ac:dyDescent="0.3">
      <c r="A10" s="61"/>
      <c r="B10" s="62"/>
      <c r="C10" s="31">
        <v>1996</v>
      </c>
      <c r="D10" s="31">
        <v>1190</v>
      </c>
      <c r="F10" t="s">
        <v>21</v>
      </c>
      <c r="N10" s="68"/>
      <c r="O10" s="69"/>
      <c r="P10" s="70"/>
      <c r="Q10" s="20">
        <f t="shared" si="0"/>
        <v>1096.8338055436352</v>
      </c>
      <c r="R10" s="26">
        <f t="shared" si="1"/>
        <v>15472.112037998046</v>
      </c>
    </row>
    <row r="11" spans="1:22" ht="15" thickBot="1" x14ac:dyDescent="0.35">
      <c r="A11" s="61"/>
      <c r="B11" s="62"/>
      <c r="C11" s="31">
        <v>1997</v>
      </c>
      <c r="D11" s="31">
        <v>1361</v>
      </c>
      <c r="N11" s="68"/>
      <c r="O11" s="69"/>
      <c r="P11" s="70"/>
      <c r="Q11" s="20">
        <f t="shared" si="0"/>
        <v>1153.5356296828338</v>
      </c>
      <c r="R11" s="26">
        <f t="shared" si="1"/>
        <v>16597.31919228044</v>
      </c>
    </row>
    <row r="12" spans="1:22" ht="14.4" customHeight="1" x14ac:dyDescent="0.3">
      <c r="A12" s="61"/>
      <c r="B12" s="62"/>
      <c r="C12" s="31">
        <v>1998</v>
      </c>
      <c r="D12" s="31">
        <v>1485</v>
      </c>
      <c r="F12" s="76" t="s">
        <v>72</v>
      </c>
      <c r="G12" s="77"/>
      <c r="H12" s="77"/>
      <c r="I12" s="77"/>
      <c r="J12" s="78"/>
      <c r="N12" s="68"/>
      <c r="O12" s="69"/>
      <c r="P12" s="70"/>
      <c r="Q12" s="20">
        <f t="shared" si="0"/>
        <v>1209.7169885266787</v>
      </c>
      <c r="R12" s="26">
        <f t="shared" si="1"/>
        <v>17779.010282336752</v>
      </c>
    </row>
    <row r="13" spans="1:22" x14ac:dyDescent="0.3">
      <c r="A13" s="61"/>
      <c r="B13" s="62"/>
      <c r="C13" s="31">
        <v>1999</v>
      </c>
      <c r="D13" s="31">
        <v>1500</v>
      </c>
      <c r="F13" s="79"/>
      <c r="G13" s="80"/>
      <c r="H13" s="80"/>
      <c r="I13" s="80"/>
      <c r="J13" s="81"/>
      <c r="N13" s="68"/>
      <c r="O13" s="69"/>
      <c r="P13" s="70"/>
      <c r="Q13" s="20">
        <f t="shared" si="0"/>
        <v>1264.8496494159033</v>
      </c>
      <c r="R13" s="26">
        <f t="shared" si="1"/>
        <v>19016.403999815866</v>
      </c>
    </row>
    <row r="14" spans="1:22" ht="15" thickBot="1" x14ac:dyDescent="0.35">
      <c r="A14" s="61"/>
      <c r="B14" s="62"/>
      <c r="C14" s="31">
        <v>2000</v>
      </c>
      <c r="D14" s="31">
        <v>1350</v>
      </c>
      <c r="F14" s="82"/>
      <c r="G14" s="83"/>
      <c r="H14" s="83"/>
      <c r="I14" s="83"/>
      <c r="J14" s="84"/>
      <c r="N14" s="68"/>
      <c r="O14" s="69"/>
      <c r="P14" s="70"/>
      <c r="Q14" s="20">
        <f t="shared" si="0"/>
        <v>1318.3699480320422</v>
      </c>
      <c r="R14" s="26">
        <f t="shared" si="1"/>
        <v>20308.172423282052</v>
      </c>
    </row>
    <row r="15" spans="1:22" x14ac:dyDescent="0.3">
      <c r="A15" s="61"/>
      <c r="B15" s="62"/>
      <c r="C15" s="31">
        <v>2001</v>
      </c>
      <c r="D15" s="31">
        <v>1520</v>
      </c>
      <c r="N15" s="68"/>
      <c r="O15" s="69"/>
      <c r="P15" s="70"/>
      <c r="Q15" s="20">
        <f t="shared" si="0"/>
        <v>1369.6878028828387</v>
      </c>
      <c r="R15" s="26">
        <f t="shared" si="1"/>
        <v>21652.409921434286</v>
      </c>
    </row>
    <row r="16" spans="1:22" x14ac:dyDescent="0.3">
      <c r="A16" s="61"/>
      <c r="B16" s="62"/>
      <c r="C16" s="31">
        <v>2002</v>
      </c>
      <c r="D16" s="31">
        <v>1673</v>
      </c>
      <c r="N16" s="68"/>
      <c r="O16" s="69"/>
      <c r="P16" s="70"/>
      <c r="Q16" s="20">
        <f t="shared" si="0"/>
        <v>1418.1977364547347</v>
      </c>
      <c r="R16" s="26">
        <f t="shared" si="1"/>
        <v>23046.612085850709</v>
      </c>
    </row>
    <row r="17" spans="1:18" x14ac:dyDescent="0.3">
      <c r="A17" s="61"/>
      <c r="B17" s="62"/>
      <c r="C17" s="31">
        <v>2003</v>
      </c>
      <c r="D17" s="31">
        <v>1775</v>
      </c>
      <c r="N17" s="68"/>
      <c r="O17" s="69"/>
      <c r="P17" s="70"/>
      <c r="Q17" s="20">
        <f t="shared" si="0"/>
        <v>1463.2916967946326</v>
      </c>
      <c r="R17" s="26">
        <f t="shared" si="1"/>
        <v>24487.666607855346</v>
      </c>
    </row>
    <row r="18" spans="1:18" x14ac:dyDescent="0.3">
      <c r="A18" s="61"/>
      <c r="B18" s="62"/>
      <c r="C18" s="31">
        <v>2004</v>
      </c>
      <c r="D18" s="31">
        <v>1692</v>
      </c>
      <c r="N18" s="68"/>
      <c r="O18" s="69"/>
      <c r="P18" s="70"/>
      <c r="Q18" s="20">
        <f t="shared" si="0"/>
        <v>1504.3733385848061</v>
      </c>
      <c r="R18" s="26">
        <f t="shared" si="1"/>
        <v>25971.857740751424</v>
      </c>
    </row>
    <row r="19" spans="1:18" x14ac:dyDescent="0.3">
      <c r="A19" s="61"/>
      <c r="B19" s="62"/>
      <c r="C19" s="31">
        <v>2005</v>
      </c>
      <c r="D19" s="31">
        <v>2314</v>
      </c>
      <c r="N19" s="68"/>
      <c r="O19" s="69"/>
      <c r="P19" s="70"/>
      <c r="Q19" s="20">
        <f t="shared" si="0"/>
        <v>1540.8732909285673</v>
      </c>
      <c r="R19" s="26">
        <f t="shared" si="1"/>
        <v>27494.885581076855</v>
      </c>
    </row>
    <row r="20" spans="1:18" x14ac:dyDescent="0.3">
      <c r="A20" s="61"/>
      <c r="B20" s="62"/>
      <c r="C20" s="31">
        <v>2006</v>
      </c>
      <c r="D20" s="31">
        <v>1801</v>
      </c>
      <c r="N20" s="68"/>
      <c r="O20" s="69"/>
      <c r="P20" s="70"/>
      <c r="Q20" s="20">
        <f t="shared" si="0"/>
        <v>1572.2648223168896</v>
      </c>
      <c r="R20" s="26">
        <f t="shared" si="1"/>
        <v>29051.900869587655</v>
      </c>
    </row>
    <row r="21" spans="1:18" x14ac:dyDescent="0.3">
      <c r="A21" s="61"/>
      <c r="B21" s="62"/>
      <c r="C21" s="31">
        <v>2007</v>
      </c>
      <c r="D21" s="31">
        <v>1952</v>
      </c>
      <c r="N21" s="68"/>
      <c r="O21" s="69"/>
      <c r="P21" s="70"/>
      <c r="Q21" s="20">
        <f t="shared" si="0"/>
        <v>1598.0792243942662</v>
      </c>
      <c r="R21" s="26">
        <f t="shared" si="1"/>
        <v>30637.555375874756</v>
      </c>
    </row>
    <row r="22" spans="1:18" x14ac:dyDescent="0.3">
      <c r="A22" s="61"/>
      <c r="B22" s="62"/>
      <c r="C22" s="31">
        <v>2008</v>
      </c>
      <c r="D22" s="31">
        <v>1853</v>
      </c>
      <c r="N22" s="68"/>
      <c r="O22" s="69"/>
      <c r="P22" s="70"/>
      <c r="Q22" s="20">
        <f t="shared" si="0"/>
        <v>1617.9201869969443</v>
      </c>
      <c r="R22" s="26">
        <f t="shared" si="1"/>
        <v>32246.067223821665</v>
      </c>
    </row>
    <row r="23" spans="1:18" x14ac:dyDescent="0.3">
      <c r="A23" s="61"/>
      <c r="B23" s="62"/>
      <c r="C23" s="31">
        <v>2009</v>
      </c>
      <c r="D23" s="31">
        <v>1905</v>
      </c>
      <c r="N23" s="68"/>
      <c r="O23" s="69"/>
      <c r="P23" s="70"/>
      <c r="Q23" s="20">
        <f t="shared" si="0"/>
        <v>1631.4764366518448</v>
      </c>
      <c r="R23" s="26">
        <f t="shared" si="1"/>
        <v>33871.29978308874</v>
      </c>
    </row>
    <row r="24" spans="1:18" x14ac:dyDescent="0.3">
      <c r="A24" s="61"/>
      <c r="B24" s="62"/>
      <c r="C24" s="31">
        <v>2010</v>
      </c>
      <c r="D24" s="31">
        <v>1253</v>
      </c>
      <c r="N24" s="68"/>
      <c r="O24" s="69"/>
      <c r="P24" s="70"/>
      <c r="Q24" s="20">
        <f t="shared" si="0"/>
        <v>1638.5319642479058</v>
      </c>
      <c r="R24" s="26">
        <f t="shared" si="1"/>
        <v>35506.852046204556</v>
      </c>
    </row>
    <row r="25" spans="1:18" x14ac:dyDescent="0.3">
      <c r="A25" s="61"/>
      <c r="B25" s="62"/>
      <c r="C25" s="31">
        <v>2011</v>
      </c>
      <c r="D25" s="31">
        <v>1426</v>
      </c>
      <c r="N25" s="68"/>
      <c r="O25" s="69"/>
      <c r="P25" s="70"/>
      <c r="Q25" s="20">
        <f t="shared" si="0"/>
        <v>1638.9732745313679</v>
      </c>
      <c r="R25" s="26">
        <f t="shared" si="1"/>
        <v>37146.157785744763</v>
      </c>
    </row>
    <row r="26" spans="1:18" x14ac:dyDescent="0.3">
      <c r="A26" s="61"/>
      <c r="B26" s="62"/>
      <c r="C26" s="31">
        <v>2012</v>
      </c>
      <c r="D26" s="31">
        <v>1350</v>
      </c>
      <c r="N26" s="68"/>
      <c r="O26" s="69"/>
      <c r="P26" s="70"/>
      <c r="Q26" s="20">
        <f t="shared" si="0"/>
        <v>1632.7932442304802</v>
      </c>
      <c r="R26" s="26">
        <f t="shared" si="1"/>
        <v>38782.590292281639</v>
      </c>
    </row>
    <row r="27" spans="1:18" x14ac:dyDescent="0.3">
      <c r="A27" s="61"/>
      <c r="B27" s="62"/>
      <c r="C27" s="31">
        <v>2013</v>
      </c>
      <c r="D27" s="31">
        <v>1439</v>
      </c>
      <c r="N27" s="68"/>
      <c r="O27" s="69"/>
      <c r="P27" s="70"/>
      <c r="Q27" s="20">
        <f t="shared" si="0"/>
        <v>1620.0913653208024</v>
      </c>
      <c r="R27" s="26">
        <f t="shared" si="1"/>
        <v>40409.569173094918</v>
      </c>
    </row>
    <row r="28" spans="1:18" x14ac:dyDescent="0.3">
      <c r="A28" s="61"/>
      <c r="B28" s="62"/>
      <c r="C28" s="31">
        <v>2014</v>
      </c>
      <c r="D28" s="31">
        <v>1499</v>
      </c>
      <c r="N28" s="68"/>
      <c r="O28" s="69"/>
      <c r="P28" s="70"/>
      <c r="Q28" s="20">
        <f t="shared" si="0"/>
        <v>1601.0703592576465</v>
      </c>
      <c r="R28" s="26">
        <f t="shared" si="1"/>
        <v>42020.665571913392</v>
      </c>
    </row>
    <row r="29" spans="1:18" ht="15" thickBot="1" x14ac:dyDescent="0.35">
      <c r="A29" s="63"/>
      <c r="B29" s="64"/>
      <c r="C29" s="31">
        <v>2015</v>
      </c>
      <c r="D29" s="31">
        <v>1653</v>
      </c>
      <c r="N29" s="71"/>
      <c r="O29" s="72"/>
      <c r="P29" s="73"/>
      <c r="Q29" s="20">
        <f t="shared" si="0"/>
        <v>1576.0293585698787</v>
      </c>
      <c r="R29" s="26">
        <f t="shared" si="1"/>
        <v>43609.70226174999</v>
      </c>
    </row>
    <row r="30" spans="1:18" x14ac:dyDescent="0.3">
      <c r="C30" s="31">
        <v>2016</v>
      </c>
      <c r="D30" s="31">
        <v>1446</v>
      </c>
      <c r="Q30" s="20">
        <f t="shared" si="0"/>
        <v>1545.3540455164198</v>
      </c>
      <c r="R30" s="26">
        <f t="shared" si="1"/>
        <v>45170.845358110761</v>
      </c>
    </row>
    <row r="31" spans="1:18" x14ac:dyDescent="0.3">
      <c r="C31" s="31">
        <v>2017</v>
      </c>
      <c r="D31" s="31">
        <v>1364</v>
      </c>
      <c r="Q31" s="20">
        <f t="shared" si="0"/>
        <v>1509.5042971704718</v>
      </c>
      <c r="R31" s="26">
        <f t="shared" si="1"/>
        <v>46698.684872782578</v>
      </c>
    </row>
    <row r="32" spans="1:18" x14ac:dyDescent="0.3">
      <c r="C32" s="31">
        <v>2018</v>
      </c>
      <c r="D32" s="40">
        <v>1469</v>
      </c>
      <c r="Q32" s="20">
        <f t="shared" si="0"/>
        <v>1469</v>
      </c>
      <c r="R32" s="26">
        <f t="shared" si="1"/>
        <v>48188.30193882934</v>
      </c>
    </row>
    <row r="33" spans="3:18" x14ac:dyDescent="0.3">
      <c r="C33" s="31">
        <v>2019</v>
      </c>
      <c r="D33" s="31"/>
      <c r="Q33" s="20">
        <f t="shared" si="0"/>
        <v>1424.4057577889375</v>
      </c>
      <c r="R33" s="26">
        <f t="shared" si="1"/>
        <v>49635.321235430383</v>
      </c>
    </row>
    <row r="34" spans="3:18" x14ac:dyDescent="0.3">
      <c r="C34" s="31">
        <v>2020</v>
      </c>
      <c r="D34" s="31"/>
      <c r="Q34" s="20">
        <f t="shared" ref="Q34:Q64" si="2">(($T$2*$F$2*EXP(-$G$2*(C34-$H$2))*$G$2*($F$2-$T$2)))/((EXP(-$G$2*(C34-$H$2))*($F$2-$T$2)+$T$2)^2)</f>
        <v>1376.315223437603</v>
      </c>
      <c r="R34" s="26">
        <f t="shared" si="1"/>
        <v>51035.947872791075</v>
      </c>
    </row>
    <row r="35" spans="3:18" x14ac:dyDescent="0.3">
      <c r="C35" s="31">
        <v>2021</v>
      </c>
      <c r="D35" s="31"/>
      <c r="Q35" s="20">
        <f t="shared" si="2"/>
        <v>1325.3357420838117</v>
      </c>
      <c r="R35" s="26">
        <f t="shared" si="1"/>
        <v>52386.988710189864</v>
      </c>
    </row>
    <row r="36" spans="3:18" x14ac:dyDescent="0.3">
      <c r="C36" s="31">
        <v>2022</v>
      </c>
      <c r="D36" s="31"/>
      <c r="Q36" s="20">
        <f t="shared" si="2"/>
        <v>1272.0739087753871</v>
      </c>
      <c r="R36" s="26">
        <f t="shared" si="1"/>
        <v>53685.858728537969</v>
      </c>
    </row>
    <row r="37" spans="3:18" x14ac:dyDescent="0.3">
      <c r="C37" s="31">
        <v>2023</v>
      </c>
      <c r="D37" s="31"/>
      <c r="Q37" s="20">
        <f t="shared" si="2"/>
        <v>1217.1225301546383</v>
      </c>
      <c r="R37" s="26">
        <f t="shared" si="1"/>
        <v>54930.573627111175</v>
      </c>
    </row>
    <row r="38" spans="3:18" x14ac:dyDescent="0.3">
      <c r="C38" s="31">
        <v>2024</v>
      </c>
      <c r="D38" s="31"/>
      <c r="Q38" s="20">
        <f t="shared" si="2"/>
        <v>1161.0493490453318</v>
      </c>
      <c r="R38" s="26">
        <f t="shared" si="1"/>
        <v>56119.730239155302</v>
      </c>
    </row>
    <row r="39" spans="3:18" x14ac:dyDescent="0.3">
      <c r="C39" s="31">
        <v>2025</v>
      </c>
      <c r="D39" s="31"/>
      <c r="Q39" s="20">
        <f t="shared" si="2"/>
        <v>1104.3877558606569</v>
      </c>
      <c r="R39" s="26">
        <f t="shared" si="1"/>
        <v>57252.47665235716</v>
      </c>
    </row>
    <row r="40" spans="3:18" x14ac:dyDescent="0.3">
      <c r="C40" s="31">
        <v>2026</v>
      </c>
      <c r="D40" s="31"/>
      <c r="Q40" s="20">
        <f t="shared" si="2"/>
        <v>1047.6295821583954</v>
      </c>
      <c r="R40" s="26">
        <f t="shared" si="1"/>
        <v>58328.474078874118</v>
      </c>
    </row>
    <row r="41" spans="3:18" x14ac:dyDescent="0.3">
      <c r="C41" s="31">
        <v>2027</v>
      </c>
      <c r="D41" s="31"/>
      <c r="Q41" s="20">
        <f t="shared" si="2"/>
        <v>991.21995779546853</v>
      </c>
      <c r="R41" s="26">
        <f t="shared" si="1"/>
        <v>59347.852556504091</v>
      </c>
    </row>
    <row r="42" spans="3:18" x14ac:dyDescent="0.3">
      <c r="C42" s="31">
        <v>2028</v>
      </c>
      <c r="D42" s="31"/>
      <c r="Q42" s="20">
        <f t="shared" si="2"/>
        <v>935.5541195006366</v>
      </c>
      <c r="R42" s="26">
        <f t="shared" si="1"/>
        <v>60311.162495371886</v>
      </c>
    </row>
    <row r="43" spans="3:18" x14ac:dyDescent="0.3">
      <c r="C43" s="31">
        <v>2029</v>
      </c>
      <c r="D43" s="31"/>
      <c r="Q43" s="20">
        <f t="shared" si="2"/>
        <v>880.97598802896312</v>
      </c>
      <c r="R43" s="26">
        <f t="shared" si="1"/>
        <v>61219.323935038003</v>
      </c>
    </row>
    <row r="44" spans="3:18" x14ac:dyDescent="0.3">
      <c r="C44" s="31">
        <v>2030</v>
      </c>
      <c r="D44" s="31"/>
      <c r="Q44" s="20">
        <f t="shared" si="2"/>
        <v>827.77828367628501</v>
      </c>
      <c r="R44" s="26">
        <f t="shared" si="1"/>
        <v>62073.57516851111</v>
      </c>
    </row>
    <row r="45" spans="3:18" x14ac:dyDescent="0.3">
      <c r="C45" s="31">
        <v>2031</v>
      </c>
      <c r="D45" s="31"/>
      <c r="Q45" s="20">
        <f t="shared" si="2"/>
        <v>776.20392418896893</v>
      </c>
      <c r="R45" s="26">
        <f t="shared" si="1"/>
        <v>62875.42214485554</v>
      </c>
    </row>
    <row r="46" spans="3:18" x14ac:dyDescent="0.3">
      <c r="C46" s="31">
        <v>2032</v>
      </c>
      <c r="D46" s="31"/>
      <c r="Q46" s="20">
        <f t="shared" si="2"/>
        <v>726.44844206110827</v>
      </c>
      <c r="R46" s="26">
        <f t="shared" si="1"/>
        <v>63626.589801186725</v>
      </c>
    </row>
    <row r="47" spans="3:18" x14ac:dyDescent="0.3">
      <c r="C47" s="31">
        <v>2033</v>
      </c>
      <c r="D47" s="31"/>
      <c r="Q47" s="20">
        <f t="shared" si="2"/>
        <v>678.66316619578947</v>
      </c>
      <c r="R47" s="26">
        <f t="shared" si="1"/>
        <v>64328.97621474183</v>
      </c>
    </row>
    <row r="48" spans="3:18" x14ac:dyDescent="0.3">
      <c r="C48" s="31">
        <v>2034</v>
      </c>
      <c r="D48" s="31"/>
      <c r="Q48" s="20">
        <f t="shared" si="2"/>
        <v>632.95893202244815</v>
      </c>
      <c r="R48" s="26">
        <f t="shared" si="1"/>
        <v>64984.610219480121</v>
      </c>
    </row>
    <row r="49" spans="3:18" x14ac:dyDescent="0.3">
      <c r="C49" s="31">
        <v>2035</v>
      </c>
      <c r="D49" s="31"/>
      <c r="Q49" s="20">
        <f t="shared" si="2"/>
        <v>589.41011067640272</v>
      </c>
      <c r="R49" s="26">
        <f t="shared" si="1"/>
        <v>65595.612908545649</v>
      </c>
    </row>
    <row r="50" spans="3:18" x14ac:dyDescent="0.3">
      <c r="C50" s="31">
        <v>2036</v>
      </c>
      <c r="D50" s="31"/>
      <c r="Q50" s="20">
        <f t="shared" si="2"/>
        <v>548.05877845577015</v>
      </c>
      <c r="R50" s="26">
        <f t="shared" si="1"/>
        <v>66164.163249617428</v>
      </c>
    </row>
    <row r="51" spans="3:18" x14ac:dyDescent="0.3">
      <c r="C51" s="31">
        <v>2037</v>
      </c>
      <c r="D51" s="31"/>
      <c r="Q51" s="20">
        <f t="shared" si="2"/>
        <v>508.91887974798817</v>
      </c>
      <c r="R51" s="26">
        <f t="shared" si="1"/>
        <v>66692.467877358882</v>
      </c>
    </row>
    <row r="52" spans="3:18" x14ac:dyDescent="0.3">
      <c r="C52" s="31">
        <v>2038</v>
      </c>
      <c r="D52" s="31"/>
      <c r="Q52" s="20">
        <f t="shared" si="2"/>
        <v>471.98026786457558</v>
      </c>
      <c r="R52" s="26">
        <f t="shared" si="1"/>
        <v>67182.73499612599</v>
      </c>
    </row>
    <row r="53" spans="3:18" x14ac:dyDescent="0.3">
      <c r="C53" s="31">
        <v>2039</v>
      </c>
      <c r="D53" s="31"/>
      <c r="Q53" s="20">
        <f t="shared" si="2"/>
        <v>437.21253724929835</v>
      </c>
      <c r="R53" s="26">
        <f t="shared" si="1"/>
        <v>67637.152225277241</v>
      </c>
    </row>
    <row r="54" spans="3:18" x14ac:dyDescent="0.3">
      <c r="C54" s="31">
        <v>2040</v>
      </c>
      <c r="D54" s="31"/>
      <c r="Q54" s="20">
        <f t="shared" si="2"/>
        <v>404.56858638589489</v>
      </c>
      <c r="R54" s="26">
        <f t="shared" si="1"/>
        <v>68057.868146114415</v>
      </c>
    </row>
    <row r="55" spans="3:18" x14ac:dyDescent="0.3">
      <c r="C55" s="31">
        <v>2041</v>
      </c>
      <c r="D55" s="31"/>
      <c r="Q55" s="20">
        <f t="shared" si="2"/>
        <v>373.98787293370998</v>
      </c>
      <c r="R55" s="26">
        <f t="shared" si="1"/>
        <v>68446.977260226748</v>
      </c>
    </row>
    <row r="56" spans="3:18" x14ac:dyDescent="0.3">
      <c r="C56" s="31">
        <v>2042</v>
      </c>
      <c r="D56" s="31"/>
      <c r="Q56" s="20">
        <f t="shared" si="2"/>
        <v>345.39934102281188</v>
      </c>
      <c r="R56" s="26">
        <f t="shared" si="1"/>
        <v>68806.508040054687</v>
      </c>
    </row>
    <row r="57" spans="3:18" x14ac:dyDescent="0.3">
      <c r="C57" s="31">
        <v>2043</v>
      </c>
      <c r="D57" s="31"/>
      <c r="Q57" s="20">
        <f t="shared" si="2"/>
        <v>318.72401536143184</v>
      </c>
      <c r="R57" s="26">
        <f t="shared" si="1"/>
        <v>69138.413740079632</v>
      </c>
    </row>
    <row r="58" spans="3:18" x14ac:dyDescent="0.3">
      <c r="C58" s="31">
        <v>2044</v>
      </c>
      <c r="D58" s="31"/>
      <c r="Q58" s="20">
        <f t="shared" si="2"/>
        <v>293.87726813679353</v>
      </c>
      <c r="R58" s="26">
        <f t="shared" si="1"/>
        <v>69444.565637629741</v>
      </c>
    </row>
    <row r="59" spans="3:18" x14ac:dyDescent="0.3">
      <c r="C59" s="31">
        <v>2045</v>
      </c>
      <c r="D59" s="31"/>
      <c r="Q59" s="20">
        <f t="shared" si="2"/>
        <v>270.77077301591237</v>
      </c>
      <c r="R59" s="26">
        <f t="shared" si="1"/>
        <v>69726.74838266868</v>
      </c>
    </row>
    <row r="60" spans="3:18" x14ac:dyDescent="0.3">
      <c r="C60" s="31">
        <v>2046</v>
      </c>
      <c r="D60" s="31"/>
      <c r="Q60" s="20">
        <f t="shared" si="2"/>
        <v>249.31416631218454</v>
      </c>
      <c r="R60" s="26">
        <f t="shared" si="1"/>
        <v>69986.657153315304</v>
      </c>
    </row>
    <row r="61" spans="3:18" x14ac:dyDescent="0.3">
      <c r="C61" s="31">
        <v>2047</v>
      </c>
      <c r="D61" s="31"/>
      <c r="Q61" s="20">
        <f t="shared" si="2"/>
        <v>229.41643901865109</v>
      </c>
      <c r="R61" s="26">
        <f t="shared" si="1"/>
        <v>70225.896335884594</v>
      </c>
    </row>
    <row r="62" spans="3:18" x14ac:dyDescent="0.3">
      <c r="C62" s="31">
        <v>2048</v>
      </c>
      <c r="D62" s="31"/>
      <c r="Q62" s="20">
        <f t="shared" si="2"/>
        <v>210.98708533977469</v>
      </c>
      <c r="R62" s="26">
        <f t="shared" si="1"/>
        <v>70445.979473032523</v>
      </c>
    </row>
    <row r="63" spans="3:18" x14ac:dyDescent="0.3">
      <c r="C63" s="31">
        <v>2049</v>
      </c>
      <c r="D63" s="31"/>
      <c r="Q63" s="20">
        <f t="shared" si="2"/>
        <v>193.93703396124479</v>
      </c>
      <c r="R63" s="26">
        <f t="shared" si="1"/>
        <v>70648.330249618084</v>
      </c>
    </row>
    <row r="64" spans="3:18" x14ac:dyDescent="0.3">
      <c r="C64" s="31">
        <v>2050</v>
      </c>
      <c r="D64" s="31"/>
      <c r="Q64" s="20">
        <f t="shared" si="2"/>
        <v>178.17938791437277</v>
      </c>
      <c r="R64" s="26">
        <f t="shared" si="1"/>
        <v>70834.284312014322</v>
      </c>
    </row>
    <row r="65" spans="3:17" x14ac:dyDescent="0.3">
      <c r="C65" s="31"/>
      <c r="D65" s="31"/>
      <c r="Q65" s="20"/>
    </row>
    <row r="66" spans="3:17" x14ac:dyDescent="0.3">
      <c r="C66" s="31"/>
      <c r="D66" s="31"/>
      <c r="Q66" s="20"/>
    </row>
    <row r="67" spans="3:17" x14ac:dyDescent="0.3">
      <c r="C67" s="31"/>
      <c r="D67" s="31"/>
      <c r="Q67" s="20"/>
    </row>
    <row r="68" spans="3:17" x14ac:dyDescent="0.3">
      <c r="C68" s="31"/>
      <c r="D68" s="31"/>
      <c r="Q68" s="20"/>
    </row>
    <row r="69" spans="3:17" x14ac:dyDescent="0.3">
      <c r="C69" s="31"/>
      <c r="D69" s="31"/>
      <c r="Q69" s="20"/>
    </row>
    <row r="70" spans="3:17" x14ac:dyDescent="0.3">
      <c r="C70" s="31"/>
      <c r="D70" s="31"/>
      <c r="Q70" s="20"/>
    </row>
    <row r="71" spans="3:17" x14ac:dyDescent="0.3">
      <c r="C71" s="31"/>
      <c r="D71" s="31"/>
      <c r="Q71" s="20"/>
    </row>
    <row r="72" spans="3:17" x14ac:dyDescent="0.3">
      <c r="C72" s="31"/>
      <c r="D72" s="31"/>
      <c r="Q72" s="20"/>
    </row>
    <row r="73" spans="3:17" x14ac:dyDescent="0.3">
      <c r="C73" s="31"/>
      <c r="D73" s="31"/>
      <c r="Q73" s="20"/>
    </row>
    <row r="74" spans="3:17" x14ac:dyDescent="0.3">
      <c r="C74" s="31"/>
      <c r="D74" s="31"/>
      <c r="Q74" s="20"/>
    </row>
    <row r="75" spans="3:17" x14ac:dyDescent="0.3">
      <c r="C75" s="31"/>
      <c r="D75" s="31"/>
      <c r="Q75" s="20"/>
    </row>
    <row r="76" spans="3:17" x14ac:dyDescent="0.3">
      <c r="C76" s="31"/>
      <c r="D76" s="31"/>
      <c r="Q76" s="20"/>
    </row>
    <row r="77" spans="3:17" x14ac:dyDescent="0.3">
      <c r="C77" s="31"/>
      <c r="D77" s="31"/>
      <c r="Q77" s="20"/>
    </row>
    <row r="78" spans="3:17" x14ac:dyDescent="0.3">
      <c r="C78" s="31"/>
      <c r="D78" s="31"/>
      <c r="Q78" s="20"/>
    </row>
    <row r="79" spans="3:17" x14ac:dyDescent="0.3">
      <c r="C79" s="31"/>
      <c r="D79" s="31"/>
      <c r="Q79" s="20"/>
    </row>
    <row r="80" spans="3:17" x14ac:dyDescent="0.3">
      <c r="C80" s="31"/>
      <c r="D80" s="31"/>
      <c r="Q80" s="20"/>
    </row>
    <row r="81" spans="3:17" x14ac:dyDescent="0.3">
      <c r="C81" s="31"/>
      <c r="D81" s="31"/>
      <c r="Q81" s="20"/>
    </row>
    <row r="82" spans="3:17" x14ac:dyDescent="0.3">
      <c r="C82" s="31"/>
      <c r="D82" s="31"/>
      <c r="Q82" s="20"/>
    </row>
    <row r="83" spans="3:17" x14ac:dyDescent="0.3">
      <c r="Q83" s="20"/>
    </row>
    <row r="84" spans="3:17" x14ac:dyDescent="0.3">
      <c r="Q84" s="20"/>
    </row>
    <row r="85" spans="3:17" x14ac:dyDescent="0.3">
      <c r="Q85" s="20"/>
    </row>
    <row r="86" spans="3:17" x14ac:dyDescent="0.3">
      <c r="Q86" s="20"/>
    </row>
    <row r="87" spans="3:17" x14ac:dyDescent="0.3">
      <c r="Q87" s="20"/>
    </row>
    <row r="88" spans="3:17" x14ac:dyDescent="0.3">
      <c r="Q88" s="20"/>
    </row>
    <row r="89" spans="3:17" x14ac:dyDescent="0.3">
      <c r="Q89" s="20"/>
    </row>
    <row r="90" spans="3:17" x14ac:dyDescent="0.3">
      <c r="Q90" s="20"/>
    </row>
    <row r="91" spans="3:17" x14ac:dyDescent="0.3">
      <c r="Q91" s="20"/>
    </row>
    <row r="92" spans="3:17" x14ac:dyDescent="0.3">
      <c r="Q92" s="20"/>
    </row>
    <row r="93" spans="3:17" x14ac:dyDescent="0.3">
      <c r="Q93" s="20"/>
    </row>
    <row r="94" spans="3:17" x14ac:dyDescent="0.3">
      <c r="Q94" s="20"/>
    </row>
    <row r="95" spans="3:17" x14ac:dyDescent="0.3">
      <c r="Q95" s="20"/>
    </row>
    <row r="96" spans="3:17" x14ac:dyDescent="0.3">
      <c r="Q96" s="20"/>
    </row>
    <row r="97" spans="17:17" x14ac:dyDescent="0.3">
      <c r="Q97" s="20"/>
    </row>
    <row r="98" spans="17:17" x14ac:dyDescent="0.3">
      <c r="Q98" s="20"/>
    </row>
    <row r="99" spans="17:17" x14ac:dyDescent="0.3">
      <c r="Q99" s="20"/>
    </row>
    <row r="100" spans="17:17" x14ac:dyDescent="0.3">
      <c r="Q100" s="20"/>
    </row>
    <row r="101" spans="17:17" x14ac:dyDescent="0.3">
      <c r="Q101" s="20"/>
    </row>
    <row r="102" spans="17:17" x14ac:dyDescent="0.3">
      <c r="Q102" s="20"/>
    </row>
    <row r="103" spans="17:17" x14ac:dyDescent="0.3">
      <c r="Q103" s="20"/>
    </row>
    <row r="104" spans="17:17" x14ac:dyDescent="0.3">
      <c r="Q104" s="20"/>
    </row>
    <row r="105" spans="17:17" x14ac:dyDescent="0.3">
      <c r="Q105" s="20"/>
    </row>
    <row r="106" spans="17:17" x14ac:dyDescent="0.3">
      <c r="Q106" s="20"/>
    </row>
    <row r="107" spans="17:17" x14ac:dyDescent="0.3">
      <c r="Q107" s="20"/>
    </row>
    <row r="108" spans="17:17" x14ac:dyDescent="0.3">
      <c r="Q108" s="20"/>
    </row>
    <row r="109" spans="17:17" x14ac:dyDescent="0.3">
      <c r="Q109" s="20"/>
    </row>
    <row r="110" spans="17:17" x14ac:dyDescent="0.3">
      <c r="Q110" s="20"/>
    </row>
    <row r="111" spans="17:17" x14ac:dyDescent="0.3">
      <c r="Q111" s="20"/>
    </row>
    <row r="112" spans="17:17" x14ac:dyDescent="0.3">
      <c r="Q112" s="20"/>
    </row>
    <row r="113" spans="17:17" x14ac:dyDescent="0.3">
      <c r="Q113" s="20"/>
    </row>
    <row r="114" spans="17:17" x14ac:dyDescent="0.3">
      <c r="Q114" s="20"/>
    </row>
    <row r="115" spans="17:17" x14ac:dyDescent="0.3">
      <c r="Q115" s="20"/>
    </row>
    <row r="116" spans="17:17" x14ac:dyDescent="0.3">
      <c r="Q116" s="20"/>
    </row>
    <row r="117" spans="17:17" x14ac:dyDescent="0.3">
      <c r="Q117" s="20"/>
    </row>
    <row r="118" spans="17:17" x14ac:dyDescent="0.3">
      <c r="Q118" s="20"/>
    </row>
    <row r="119" spans="17:17" x14ac:dyDescent="0.3">
      <c r="Q119" s="20"/>
    </row>
    <row r="120" spans="17:17" x14ac:dyDescent="0.3">
      <c r="Q120" s="20"/>
    </row>
    <row r="121" spans="17:17" x14ac:dyDescent="0.3">
      <c r="Q121" s="20"/>
    </row>
    <row r="122" spans="17:17" x14ac:dyDescent="0.3">
      <c r="Q122" s="20"/>
    </row>
    <row r="123" spans="17:17" x14ac:dyDescent="0.3">
      <c r="Q123" s="20"/>
    </row>
    <row r="124" spans="17:17" x14ac:dyDescent="0.3">
      <c r="Q124" s="20"/>
    </row>
    <row r="125" spans="17:17" x14ac:dyDescent="0.3">
      <c r="Q125" s="20"/>
    </row>
    <row r="126" spans="17:17" x14ac:dyDescent="0.3">
      <c r="Q126" s="20"/>
    </row>
    <row r="127" spans="17:17" x14ac:dyDescent="0.3">
      <c r="Q127" s="20"/>
    </row>
    <row r="128" spans="17:17" x14ac:dyDescent="0.3">
      <c r="Q128" s="20"/>
    </row>
    <row r="129" spans="17:17" x14ac:dyDescent="0.3">
      <c r="Q129" s="20"/>
    </row>
    <row r="130" spans="17:17" x14ac:dyDescent="0.3">
      <c r="Q130" s="20"/>
    </row>
    <row r="131" spans="17:17" x14ac:dyDescent="0.3">
      <c r="Q131" s="20"/>
    </row>
    <row r="132" spans="17:17" x14ac:dyDescent="0.3">
      <c r="Q132" s="20"/>
    </row>
    <row r="133" spans="17:17" x14ac:dyDescent="0.3">
      <c r="Q133" s="20"/>
    </row>
    <row r="134" spans="17:17" x14ac:dyDescent="0.3">
      <c r="Q134" s="20"/>
    </row>
    <row r="135" spans="17:17" x14ac:dyDescent="0.3">
      <c r="Q135" s="20"/>
    </row>
    <row r="136" spans="17:17" x14ac:dyDescent="0.3">
      <c r="Q136" s="20"/>
    </row>
    <row r="137" spans="17:17" x14ac:dyDescent="0.3">
      <c r="Q137" s="20"/>
    </row>
    <row r="138" spans="17:17" x14ac:dyDescent="0.3">
      <c r="Q138" s="20"/>
    </row>
    <row r="139" spans="17:17" x14ac:dyDescent="0.3">
      <c r="Q139" s="20"/>
    </row>
    <row r="140" spans="17:17" x14ac:dyDescent="0.3">
      <c r="Q140" s="20"/>
    </row>
    <row r="141" spans="17:17" x14ac:dyDescent="0.3">
      <c r="Q141" s="20"/>
    </row>
    <row r="142" spans="17:17" x14ac:dyDescent="0.3">
      <c r="Q142" s="20"/>
    </row>
    <row r="143" spans="17:17" x14ac:dyDescent="0.3">
      <c r="Q143" s="20"/>
    </row>
    <row r="144" spans="17:17" x14ac:dyDescent="0.3">
      <c r="Q144" s="20"/>
    </row>
    <row r="145" spans="17:17" x14ac:dyDescent="0.3">
      <c r="Q145" s="20"/>
    </row>
    <row r="146" spans="17:17" x14ac:dyDescent="0.3">
      <c r="Q146" s="20"/>
    </row>
    <row r="147" spans="17:17" x14ac:dyDescent="0.3">
      <c r="Q147" s="20"/>
    </row>
    <row r="148" spans="17:17" x14ac:dyDescent="0.3">
      <c r="Q148" s="20"/>
    </row>
    <row r="149" spans="17:17" x14ac:dyDescent="0.3">
      <c r="Q149" s="20"/>
    </row>
    <row r="150" spans="17:17" x14ac:dyDescent="0.3">
      <c r="Q150" s="20"/>
    </row>
  </sheetData>
  <mergeCells count="3">
    <mergeCell ref="A1:B29"/>
    <mergeCell ref="N1:P29"/>
    <mergeCell ref="F12:J14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Begining</vt:lpstr>
      <vt:lpstr>Nomeclature</vt:lpstr>
      <vt:lpstr>Before you begin</vt:lpstr>
      <vt:lpstr>How it works</vt:lpstr>
      <vt:lpstr>!! Assumptions !!</vt:lpstr>
      <vt:lpstr>Input-Output</vt:lpstr>
      <vt:lpstr>Example (1)</vt:lpstr>
      <vt:lpstr>Example (2)</vt:lpstr>
      <vt:lpstr>Example (3)</vt:lpstr>
      <vt:lpstr>Example (4)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Panos Karvounis</dc:creator>
  <cp:lastModifiedBy>Panos Karvounis</cp:lastModifiedBy>
  <dcterms:created xsi:type="dcterms:W3CDTF">2015-06-05T18:17:20Z</dcterms:created>
  <dcterms:modified xsi:type="dcterms:W3CDTF">2021-05-19T20:21:36Z</dcterms:modified>
</cp:coreProperties>
</file>